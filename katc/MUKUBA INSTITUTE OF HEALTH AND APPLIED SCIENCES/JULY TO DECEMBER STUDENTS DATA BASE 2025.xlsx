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n\Desktop\"/>
    </mc:Choice>
  </mc:AlternateContent>
  <xr:revisionPtr revIDLastSave="0" documentId="13_ncr:1_{5EBF3B1C-47A6-428D-B028-78ABFC847C78}" xr6:coauthVersionLast="47" xr6:coauthVersionMax="47" xr10:uidLastSave="{00000000-0000-0000-0000-000000000000}"/>
  <bookViews>
    <workbookView xWindow="-120" yWindow="-120" windowWidth="24240" windowHeight="13020" activeTab="1" xr2:uid="{D1B57B89-A5A2-4D24-A91B-47CC21339B71}"/>
  </bookViews>
  <sheets>
    <sheet name="RN4 CURRENT" sheetId="7" r:id="rId1"/>
    <sheet name="RN5 CURRENT" sheetId="1" r:id="rId2"/>
    <sheet name="RN6 CURRENT" sheetId="2" r:id="rId3"/>
    <sheet name="RN7 CURRENT" sheetId="3" r:id="rId4"/>
    <sheet name="RN8 CURRENT" sheetId="4" r:id="rId5"/>
    <sheet name="RN9 CURRENT"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9" i="1" l="1"/>
  <c r="Z39" i="1" s="1"/>
  <c r="Y42" i="1"/>
  <c r="Z42" i="1" s="1"/>
  <c r="Y24" i="1"/>
  <c r="Z24" i="1" s="1"/>
  <c r="AA19" i="2"/>
  <c r="AB19" i="2" s="1"/>
  <c r="E19" i="2"/>
  <c r="R33" i="1" l="1"/>
  <c r="T38" i="2"/>
  <c r="P41" i="2"/>
  <c r="P46" i="2" s="1"/>
  <c r="R8" i="2"/>
  <c r="R18" i="2"/>
  <c r="R7" i="4"/>
  <c r="X8" i="4"/>
  <c r="AL8" i="4" s="1"/>
  <c r="P24" i="5"/>
  <c r="P28" i="5" s="1"/>
  <c r="AC28" i="5" s="1"/>
  <c r="N65" i="7"/>
  <c r="L65" i="7"/>
  <c r="J65" i="7"/>
  <c r="H65" i="7"/>
  <c r="P63" i="7"/>
  <c r="AD63" i="7" s="1"/>
  <c r="AE63" i="7" s="1"/>
  <c r="AD62" i="7"/>
  <c r="AE62" i="7" s="1"/>
  <c r="AD61" i="7"/>
  <c r="AE61" i="7" s="1"/>
  <c r="AD60" i="7"/>
  <c r="AE60" i="7" s="1"/>
  <c r="AD59" i="7"/>
  <c r="AE59" i="7" s="1"/>
  <c r="AD58" i="7"/>
  <c r="AE58" i="7" s="1"/>
  <c r="AD57" i="7"/>
  <c r="AE57" i="7" s="1"/>
  <c r="AD56" i="7"/>
  <c r="AE56" i="7" s="1"/>
  <c r="AD55" i="7"/>
  <c r="AE55" i="7" s="1"/>
  <c r="AD54" i="7"/>
  <c r="AE54" i="7" s="1"/>
  <c r="AD53" i="7"/>
  <c r="E53" i="7"/>
  <c r="AD52" i="7"/>
  <c r="E52" i="7"/>
  <c r="AD51" i="7"/>
  <c r="E51" i="7"/>
  <c r="AE51" i="7" s="1"/>
  <c r="AD50" i="7"/>
  <c r="E50" i="7"/>
  <c r="AE50" i="7" s="1"/>
  <c r="AD49" i="7"/>
  <c r="E49" i="7"/>
  <c r="AD48" i="7"/>
  <c r="E48" i="7"/>
  <c r="AD47" i="7"/>
  <c r="E47" i="7"/>
  <c r="AD46" i="7"/>
  <c r="E46" i="7"/>
  <c r="AE46" i="7" s="1"/>
  <c r="AD45" i="7"/>
  <c r="E45" i="7"/>
  <c r="AD44" i="7"/>
  <c r="E44" i="7"/>
  <c r="AE44" i="7" s="1"/>
  <c r="AD43" i="7"/>
  <c r="E43" i="7"/>
  <c r="AD42" i="7"/>
  <c r="E42" i="7"/>
  <c r="AE42" i="7" s="1"/>
  <c r="AD41" i="7"/>
  <c r="E41" i="7"/>
  <c r="AD40" i="7"/>
  <c r="E40" i="7"/>
  <c r="AE40" i="7" s="1"/>
  <c r="AD39" i="7"/>
  <c r="E39" i="7"/>
  <c r="AD38" i="7"/>
  <c r="E38" i="7"/>
  <c r="AE38" i="7" s="1"/>
  <c r="AD37" i="7"/>
  <c r="E37" i="7"/>
  <c r="AD36" i="7"/>
  <c r="E36" i="7"/>
  <c r="AD35" i="7"/>
  <c r="E35" i="7"/>
  <c r="AD34" i="7"/>
  <c r="E34" i="7"/>
  <c r="AD33" i="7"/>
  <c r="E33" i="7"/>
  <c r="AD32" i="7"/>
  <c r="E32" i="7"/>
  <c r="AE32" i="7" s="1"/>
  <c r="AD31" i="7"/>
  <c r="E31" i="7"/>
  <c r="AD30" i="7"/>
  <c r="E30" i="7"/>
  <c r="AD29" i="7"/>
  <c r="E29" i="7"/>
  <c r="AD28" i="7"/>
  <c r="E28" i="7"/>
  <c r="AE28" i="7" s="1"/>
  <c r="AD27" i="7"/>
  <c r="E27" i="7"/>
  <c r="AD26" i="7"/>
  <c r="E26" i="7"/>
  <c r="AD25" i="7"/>
  <c r="E25" i="7"/>
  <c r="AD24" i="7"/>
  <c r="E24" i="7"/>
  <c r="AD23" i="7"/>
  <c r="E23" i="7"/>
  <c r="AD22" i="7"/>
  <c r="E22" i="7"/>
  <c r="AD21" i="7"/>
  <c r="E21" i="7"/>
  <c r="AD20" i="7"/>
  <c r="E20" i="7"/>
  <c r="AD19" i="7"/>
  <c r="E19" i="7"/>
  <c r="F18" i="7"/>
  <c r="F65" i="7" s="1"/>
  <c r="E18" i="7"/>
  <c r="AD17" i="7"/>
  <c r="E17" i="7"/>
  <c r="AD16" i="7"/>
  <c r="E16" i="7"/>
  <c r="AE16" i="7" s="1"/>
  <c r="AD15" i="7"/>
  <c r="E15" i="7"/>
  <c r="AD14" i="7"/>
  <c r="E14" i="7"/>
  <c r="AD13" i="7"/>
  <c r="E13" i="7"/>
  <c r="AD12" i="7"/>
  <c r="E12" i="7"/>
  <c r="AD11" i="7"/>
  <c r="E11" i="7"/>
  <c r="AD10" i="7"/>
  <c r="E10" i="7"/>
  <c r="AD9" i="7"/>
  <c r="E9" i="7"/>
  <c r="AD8" i="7"/>
  <c r="E8" i="7"/>
  <c r="AD7" i="7"/>
  <c r="E7" i="7"/>
  <c r="AD6" i="7"/>
  <c r="E6" i="7"/>
  <c r="AD5" i="7"/>
  <c r="E5" i="7"/>
  <c r="AD4" i="7"/>
  <c r="E4" i="7"/>
  <c r="AE4" i="7" s="1"/>
  <c r="X28" i="5"/>
  <c r="V28" i="5"/>
  <c r="T28" i="5"/>
  <c r="R28" i="5"/>
  <c r="N28" i="5"/>
  <c r="L28" i="5"/>
  <c r="K27" i="5"/>
  <c r="AC25" i="5"/>
  <c r="AD25" i="5" s="1"/>
  <c r="AC23" i="5"/>
  <c r="AD23" i="5" s="1"/>
  <c r="AC22" i="5"/>
  <c r="AD22" i="5" s="1"/>
  <c r="AC21" i="5"/>
  <c r="AD21" i="5" s="1"/>
  <c r="AC20" i="5"/>
  <c r="AD20" i="5" s="1"/>
  <c r="AC19" i="5"/>
  <c r="AD19" i="5" s="1"/>
  <c r="AC18" i="5"/>
  <c r="AD18" i="5" s="1"/>
  <c r="AC17" i="5"/>
  <c r="AD17" i="5" s="1"/>
  <c r="AC16" i="5"/>
  <c r="AD16" i="5" s="1"/>
  <c r="AC15" i="5"/>
  <c r="AD15" i="5" s="1"/>
  <c r="AC14" i="5"/>
  <c r="AD14" i="5" s="1"/>
  <c r="AC13" i="5"/>
  <c r="AD13" i="5" s="1"/>
  <c r="AC12" i="5"/>
  <c r="AD12" i="5" s="1"/>
  <c r="AC11" i="5"/>
  <c r="AD11" i="5" s="1"/>
  <c r="AC10" i="5"/>
  <c r="AD10" i="5" s="1"/>
  <c r="AC9" i="5"/>
  <c r="AD9" i="5" s="1"/>
  <c r="AC8" i="5"/>
  <c r="AD8" i="5" s="1"/>
  <c r="AC7" i="5"/>
  <c r="AD7" i="5" s="1"/>
  <c r="AC6" i="5"/>
  <c r="AD6" i="5" s="1"/>
  <c r="AC5" i="5"/>
  <c r="V46" i="4"/>
  <c r="T46" i="4"/>
  <c r="R46" i="4"/>
  <c r="P46" i="4"/>
  <c r="N46" i="4"/>
  <c r="L46" i="4"/>
  <c r="I45" i="4"/>
  <c r="F45" i="4"/>
  <c r="AL43" i="4"/>
  <c r="AM43" i="4" s="1"/>
  <c r="K43" i="4"/>
  <c r="H43" i="4"/>
  <c r="AL42" i="4"/>
  <c r="AM42" i="4" s="1"/>
  <c r="X42" i="4"/>
  <c r="K42" i="4"/>
  <c r="AL41" i="4"/>
  <c r="AM41" i="4" s="1"/>
  <c r="K41" i="4"/>
  <c r="AL40" i="4"/>
  <c r="K40" i="4"/>
  <c r="AM40" i="4" s="1"/>
  <c r="AL39" i="4"/>
  <c r="K39" i="4"/>
  <c r="AM39" i="4" s="1"/>
  <c r="AM38" i="4"/>
  <c r="AL38" i="4"/>
  <c r="K38" i="4"/>
  <c r="E38" i="4"/>
  <c r="AM37" i="4"/>
  <c r="AL37" i="4"/>
  <c r="K37" i="4"/>
  <c r="AL36" i="4"/>
  <c r="AM36" i="4" s="1"/>
  <c r="K36" i="4"/>
  <c r="AL35" i="4"/>
  <c r="K35" i="4"/>
  <c r="AM35" i="4" s="1"/>
  <c r="AL34" i="4"/>
  <c r="K34" i="4"/>
  <c r="AM34" i="4" s="1"/>
  <c r="AM33" i="4"/>
  <c r="AL33" i="4"/>
  <c r="K33" i="4"/>
  <c r="AL32" i="4"/>
  <c r="AM32" i="4" s="1"/>
  <c r="K32" i="4"/>
  <c r="AL31" i="4"/>
  <c r="K31" i="4"/>
  <c r="AM31" i="4" s="1"/>
  <c r="AL30" i="4"/>
  <c r="K30" i="4"/>
  <c r="AM30" i="4" s="1"/>
  <c r="H30" i="4"/>
  <c r="AL29" i="4"/>
  <c r="K29" i="4"/>
  <c r="AM29" i="4" s="1"/>
  <c r="H29" i="4"/>
  <c r="AL28" i="4"/>
  <c r="K28" i="4"/>
  <c r="AM28" i="4" s="1"/>
  <c r="AM27" i="4"/>
  <c r="AL27" i="4"/>
  <c r="K27" i="4"/>
  <c r="H27" i="4"/>
  <c r="AM26" i="4"/>
  <c r="AL26" i="4"/>
  <c r="K26" i="4"/>
  <c r="AL25" i="4"/>
  <c r="AM25" i="4" s="1"/>
  <c r="K25" i="4"/>
  <c r="AL24" i="4"/>
  <c r="K24" i="4"/>
  <c r="AM24" i="4" s="1"/>
  <c r="H24" i="4"/>
  <c r="AL23" i="4"/>
  <c r="K23" i="4"/>
  <c r="AM23" i="4" s="1"/>
  <c r="AL22" i="4"/>
  <c r="K22" i="4"/>
  <c r="AM22" i="4" s="1"/>
  <c r="AM21" i="4"/>
  <c r="AL21" i="4"/>
  <c r="K21" i="4"/>
  <c r="AL20" i="4"/>
  <c r="AM20" i="4" s="1"/>
  <c r="K20" i="4"/>
  <c r="AL19" i="4"/>
  <c r="K19" i="4"/>
  <c r="AM19" i="4" s="1"/>
  <c r="AL18" i="4"/>
  <c r="K18" i="4"/>
  <c r="AM18" i="4" s="1"/>
  <c r="AM17" i="4"/>
  <c r="AL17" i="4"/>
  <c r="K17" i="4"/>
  <c r="AL16" i="4"/>
  <c r="AM16" i="4" s="1"/>
  <c r="K16" i="4"/>
  <c r="AL15" i="4"/>
  <c r="K15" i="4"/>
  <c r="AM15" i="4" s="1"/>
  <c r="H15" i="4"/>
  <c r="AL14" i="4"/>
  <c r="K14" i="4"/>
  <c r="AL13" i="4"/>
  <c r="K13" i="4"/>
  <c r="AM13" i="4" s="1"/>
  <c r="E13" i="4"/>
  <c r="E45" i="4" s="1"/>
  <c r="AL12" i="4"/>
  <c r="K12" i="4"/>
  <c r="AM12" i="4" s="1"/>
  <c r="AM11" i="4"/>
  <c r="AL11" i="4"/>
  <c r="K11" i="4"/>
  <c r="AL10" i="4"/>
  <c r="AM10" i="4" s="1"/>
  <c r="K10" i="4"/>
  <c r="AL9" i="4"/>
  <c r="K9" i="4"/>
  <c r="AM9" i="4" s="1"/>
  <c r="K8" i="4"/>
  <c r="AL7" i="4"/>
  <c r="AM7" i="4" s="1"/>
  <c r="K7" i="4"/>
  <c r="H7" i="4"/>
  <c r="AM6" i="4"/>
  <c r="AL6" i="4"/>
  <c r="K6" i="4"/>
  <c r="H6" i="4"/>
  <c r="H44" i="4" s="1"/>
  <c r="AM5" i="4"/>
  <c r="AL5" i="4"/>
  <c r="K5" i="4"/>
  <c r="K45" i="4" s="1"/>
  <c r="U7" i="3"/>
  <c r="Q26" i="3"/>
  <c r="O26" i="3"/>
  <c r="M26" i="3"/>
  <c r="K26" i="3"/>
  <c r="I26" i="3"/>
  <c r="G26" i="3"/>
  <c r="AB26" i="3" s="1"/>
  <c r="E25" i="3"/>
  <c r="AC24" i="3"/>
  <c r="AB24" i="3"/>
  <c r="F24" i="3"/>
  <c r="AB23" i="3"/>
  <c r="F23" i="3"/>
  <c r="AC23" i="3" s="1"/>
  <c r="AB22" i="3"/>
  <c r="F22" i="3"/>
  <c r="AC22" i="3" s="1"/>
  <c r="AC21" i="3"/>
  <c r="AB21" i="3"/>
  <c r="F21" i="3"/>
  <c r="AC20" i="3"/>
  <c r="AB20" i="3"/>
  <c r="F20" i="3"/>
  <c r="AB19" i="3"/>
  <c r="F19" i="3"/>
  <c r="AC19" i="3" s="1"/>
  <c r="AB18" i="3"/>
  <c r="F18" i="3"/>
  <c r="AC18" i="3" s="1"/>
  <c r="AC17" i="3"/>
  <c r="AB17" i="3"/>
  <c r="F17" i="3"/>
  <c r="AC16" i="3"/>
  <c r="AB16" i="3"/>
  <c r="F16" i="3"/>
  <c r="AB15" i="3"/>
  <c r="F15" i="3"/>
  <c r="AC15" i="3" s="1"/>
  <c r="AB14" i="3"/>
  <c r="F14" i="3"/>
  <c r="AC14" i="3" s="1"/>
  <c r="AC13" i="3"/>
  <c r="AB13" i="3"/>
  <c r="F13" i="3"/>
  <c r="AC12" i="3"/>
  <c r="AB12" i="3"/>
  <c r="F12" i="3"/>
  <c r="AB11" i="3"/>
  <c r="F11" i="3"/>
  <c r="AC11" i="3" s="1"/>
  <c r="AB10" i="3"/>
  <c r="F10" i="3"/>
  <c r="AC10" i="3" s="1"/>
  <c r="AC9" i="3"/>
  <c r="AB9" i="3"/>
  <c r="F9" i="3"/>
  <c r="AC8" i="3"/>
  <c r="AB8" i="3"/>
  <c r="F8" i="3"/>
  <c r="AB7" i="3"/>
  <c r="F7" i="3"/>
  <c r="AB6" i="3"/>
  <c r="F6" i="3"/>
  <c r="AC6" i="3" s="1"/>
  <c r="AC5" i="3"/>
  <c r="AB5" i="3"/>
  <c r="F5" i="3"/>
  <c r="AB4" i="3"/>
  <c r="AB25" i="3" s="1"/>
  <c r="F4" i="3"/>
  <c r="F25" i="3" s="1"/>
  <c r="N46" i="2"/>
  <c r="L46" i="2"/>
  <c r="J46" i="2"/>
  <c r="H46" i="2"/>
  <c r="F46" i="2"/>
  <c r="AA44" i="2"/>
  <c r="E44" i="2"/>
  <c r="AB44" i="2" s="1"/>
  <c r="AA43" i="2"/>
  <c r="E43" i="2"/>
  <c r="V42" i="2"/>
  <c r="AA42" i="2" s="1"/>
  <c r="AB42" i="2" s="1"/>
  <c r="AA41" i="2"/>
  <c r="E41" i="2"/>
  <c r="AA40" i="2"/>
  <c r="E40" i="2"/>
  <c r="AB40" i="2" s="1"/>
  <c r="AA39" i="2"/>
  <c r="AB39" i="2" s="1"/>
  <c r="E39" i="2"/>
  <c r="AA38" i="2"/>
  <c r="E38" i="2"/>
  <c r="AA37" i="2"/>
  <c r="E37" i="2"/>
  <c r="AA36" i="2"/>
  <c r="AB36" i="2" s="1"/>
  <c r="E36" i="2"/>
  <c r="AA35" i="2"/>
  <c r="E35" i="2"/>
  <c r="AA34" i="2"/>
  <c r="E34" i="2"/>
  <c r="AA33" i="2"/>
  <c r="E33" i="2"/>
  <c r="AB33" i="2" s="1"/>
  <c r="AB32" i="2"/>
  <c r="AA32" i="2"/>
  <c r="E32" i="2"/>
  <c r="AA31" i="2"/>
  <c r="E31" i="2"/>
  <c r="AA30" i="2"/>
  <c r="E30" i="2"/>
  <c r="AA29" i="2"/>
  <c r="E29" i="2"/>
  <c r="AB29" i="2" s="1"/>
  <c r="AA28" i="2"/>
  <c r="E28" i="2"/>
  <c r="AB28" i="2" s="1"/>
  <c r="AA27" i="2"/>
  <c r="AB27" i="2" s="1"/>
  <c r="E27" i="2"/>
  <c r="AA26" i="2"/>
  <c r="E26" i="2"/>
  <c r="AB26" i="2" s="1"/>
  <c r="AA25" i="2"/>
  <c r="E25" i="2"/>
  <c r="AA24" i="2"/>
  <c r="E24" i="2"/>
  <c r="AB24" i="2" s="1"/>
  <c r="AA23" i="2"/>
  <c r="E23" i="2"/>
  <c r="AA22" i="2"/>
  <c r="E22" i="2"/>
  <c r="AB22" i="2" s="1"/>
  <c r="R21" i="2"/>
  <c r="AA21" i="2" s="1"/>
  <c r="E21" i="2"/>
  <c r="AA20" i="2"/>
  <c r="E20" i="2"/>
  <c r="AB20" i="2" s="1"/>
  <c r="AA18" i="2"/>
  <c r="AB18" i="2" s="1"/>
  <c r="E18" i="2"/>
  <c r="AA17" i="2"/>
  <c r="E17" i="2"/>
  <c r="AB17" i="2" s="1"/>
  <c r="AA16" i="2"/>
  <c r="E16" i="2"/>
  <c r="AA15" i="2"/>
  <c r="E15" i="2"/>
  <c r="AB15" i="2" s="1"/>
  <c r="AA14" i="2"/>
  <c r="E14" i="2"/>
  <c r="AB14" i="2" s="1"/>
  <c r="AA13" i="2"/>
  <c r="E13" i="2"/>
  <c r="AA12" i="2"/>
  <c r="E12" i="2"/>
  <c r="AB12" i="2" s="1"/>
  <c r="AA11" i="2"/>
  <c r="E11" i="2"/>
  <c r="AA10" i="2"/>
  <c r="E10" i="2"/>
  <c r="AB10" i="2" s="1"/>
  <c r="AA9" i="2"/>
  <c r="AB9" i="2" s="1"/>
  <c r="E9" i="2"/>
  <c r="AA8" i="2"/>
  <c r="E8" i="2"/>
  <c r="AA7" i="2"/>
  <c r="E7" i="2"/>
  <c r="AA6" i="2"/>
  <c r="AB6" i="2" s="1"/>
  <c r="E6" i="2"/>
  <c r="AA5" i="2"/>
  <c r="E5" i="2"/>
  <c r="AA4" i="2"/>
  <c r="E4" i="2"/>
  <c r="N47" i="1"/>
  <c r="L47" i="1"/>
  <c r="J47" i="1"/>
  <c r="H47" i="1"/>
  <c r="F47" i="1"/>
  <c r="Y45" i="1"/>
  <c r="E45" i="1"/>
  <c r="Y44" i="1"/>
  <c r="E44" i="1"/>
  <c r="Y43" i="1"/>
  <c r="E43" i="1"/>
  <c r="Y41" i="1"/>
  <c r="E41" i="1"/>
  <c r="Y40" i="1"/>
  <c r="Z40" i="1" s="1"/>
  <c r="Y38" i="1"/>
  <c r="E38" i="1"/>
  <c r="Y37" i="1"/>
  <c r="E37" i="1"/>
  <c r="Y36" i="1"/>
  <c r="E36" i="1"/>
  <c r="Y35" i="1"/>
  <c r="E35" i="1"/>
  <c r="Y34" i="1"/>
  <c r="E34" i="1"/>
  <c r="Y33" i="1"/>
  <c r="E33" i="1"/>
  <c r="Y32" i="1"/>
  <c r="E32" i="1"/>
  <c r="Y31" i="1"/>
  <c r="E31" i="1"/>
  <c r="Y30" i="1"/>
  <c r="E30" i="1"/>
  <c r="Y29" i="1"/>
  <c r="E29" i="1"/>
  <c r="Y28" i="1"/>
  <c r="E28" i="1"/>
  <c r="Y27" i="1"/>
  <c r="E27" i="1"/>
  <c r="Y26" i="1"/>
  <c r="E26" i="1"/>
  <c r="Y25" i="1"/>
  <c r="E25" i="1"/>
  <c r="Y23" i="1"/>
  <c r="E23" i="1"/>
  <c r="Y22" i="1"/>
  <c r="E22" i="1"/>
  <c r="Y21" i="1"/>
  <c r="E21" i="1"/>
  <c r="Y20" i="1"/>
  <c r="E20" i="1"/>
  <c r="Y19" i="1"/>
  <c r="E19" i="1"/>
  <c r="Y18" i="1"/>
  <c r="Z18" i="1" s="1"/>
  <c r="Y17" i="1"/>
  <c r="E17" i="1"/>
  <c r="Y16" i="1"/>
  <c r="E16" i="1"/>
  <c r="Y15" i="1"/>
  <c r="E15" i="1"/>
  <c r="Z15" i="1" s="1"/>
  <c r="Y14" i="1"/>
  <c r="E14" i="1"/>
  <c r="Y13" i="1"/>
  <c r="E13" i="1"/>
  <c r="Z13" i="1" s="1"/>
  <c r="Y12" i="1"/>
  <c r="E12" i="1"/>
  <c r="Y11" i="1"/>
  <c r="E11" i="1"/>
  <c r="Y10" i="1"/>
  <c r="E10" i="1"/>
  <c r="Y9" i="1"/>
  <c r="E9" i="1"/>
  <c r="Y8" i="1"/>
  <c r="E8" i="1"/>
  <c r="Y7" i="1"/>
  <c r="E7" i="1"/>
  <c r="Z7" i="1" s="1"/>
  <c r="Y6" i="1"/>
  <c r="E6" i="1"/>
  <c r="Y5" i="1"/>
  <c r="E5" i="1"/>
  <c r="Y4" i="1"/>
  <c r="Z4" i="1" s="1"/>
  <c r="Z31" i="1" l="1"/>
  <c r="Z14" i="1"/>
  <c r="Z43" i="1"/>
  <c r="Z20" i="1"/>
  <c r="Z25" i="1"/>
  <c r="Z19" i="1"/>
  <c r="Z21" i="1"/>
  <c r="Z26" i="1"/>
  <c r="Z30" i="1"/>
  <c r="Z36" i="1"/>
  <c r="Z38" i="1"/>
  <c r="Z11" i="1"/>
  <c r="Z44" i="1"/>
  <c r="Z37" i="1"/>
  <c r="Z8" i="1"/>
  <c r="Z27" i="1"/>
  <c r="Z34" i="1"/>
  <c r="AB5" i="2"/>
  <c r="AB7" i="2"/>
  <c r="AB16" i="2"/>
  <c r="AB21" i="2"/>
  <c r="AB23" i="2"/>
  <c r="AB30" i="2"/>
  <c r="AB35" i="2"/>
  <c r="AB37" i="2"/>
  <c r="AB43" i="2"/>
  <c r="AB31" i="2"/>
  <c r="E45" i="2"/>
  <c r="AB11" i="2"/>
  <c r="AB13" i="2"/>
  <c r="AB25" i="2"/>
  <c r="AB34" i="2"/>
  <c r="AB41" i="2"/>
  <c r="Z23" i="1"/>
  <c r="Z6" i="1"/>
  <c r="E46" i="1"/>
  <c r="Z10" i="1"/>
  <c r="Z12" i="1"/>
  <c r="Z17" i="1"/>
  <c r="Z28" i="1"/>
  <c r="Z33" i="1"/>
  <c r="Z35" i="1"/>
  <c r="Z29" i="1"/>
  <c r="Z41" i="1"/>
  <c r="Y47" i="1"/>
  <c r="Z9" i="1"/>
  <c r="Z16" i="1"/>
  <c r="Z22" i="1"/>
  <c r="Z32" i="1"/>
  <c r="Z45" i="1"/>
  <c r="AB38" i="2"/>
  <c r="AA46" i="2"/>
  <c r="AB8" i="2"/>
  <c r="AA45" i="2"/>
  <c r="AL46" i="4"/>
  <c r="AM8" i="4"/>
  <c r="AL45" i="4"/>
  <c r="AM14" i="4"/>
  <c r="AC24" i="5"/>
  <c r="AD24" i="5" s="1"/>
  <c r="AC27" i="5"/>
  <c r="AE25" i="7"/>
  <c r="AE27" i="7"/>
  <c r="AE17" i="7"/>
  <c r="AE19" i="7"/>
  <c r="AE21" i="7"/>
  <c r="AE35" i="7"/>
  <c r="AE8" i="7"/>
  <c r="AE10" i="7"/>
  <c r="AE12" i="7"/>
  <c r="AE47" i="7"/>
  <c r="AE49" i="7"/>
  <c r="AE5" i="7"/>
  <c r="AE7" i="7"/>
  <c r="AE14" i="7"/>
  <c r="AE23" i="7"/>
  <c r="AE29" i="7"/>
  <c r="AE31" i="7"/>
  <c r="AE37" i="7"/>
  <c r="AE53" i="7"/>
  <c r="E64" i="7"/>
  <c r="AE9" i="7"/>
  <c r="AE11" i="7"/>
  <c r="AE20" i="7"/>
  <c r="AE26" i="7"/>
  <c r="AE33" i="7"/>
  <c r="AE34" i="7"/>
  <c r="AE39" i="7"/>
  <c r="AE41" i="7"/>
  <c r="AE48" i="7"/>
  <c r="AE6" i="7"/>
  <c r="AE13" i="7"/>
  <c r="AE15" i="7"/>
  <c r="AD65" i="7"/>
  <c r="AE22" i="7"/>
  <c r="AE24" i="7"/>
  <c r="AE30" i="7"/>
  <c r="AE36" i="7"/>
  <c r="AE43" i="7"/>
  <c r="AE45" i="7"/>
  <c r="AE52" i="7"/>
  <c r="AD18" i="7"/>
  <c r="AD64" i="7" s="1"/>
  <c r="AD5" i="5"/>
  <c r="AD27" i="5" s="1"/>
  <c r="AC4" i="3"/>
  <c r="AC25" i="3" s="1"/>
  <c r="AC7" i="3"/>
  <c r="W42" i="2"/>
  <c r="AB4" i="2"/>
  <c r="Y46" i="1"/>
  <c r="Z5" i="1"/>
  <c r="AB45" i="2" l="1"/>
  <c r="Z46" i="1"/>
  <c r="AM45" i="4"/>
  <c r="AE18" i="7"/>
  <c r="AE6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Admn</author>
  </authors>
  <commentList>
    <comment ref="F4" authorId="0" shapeId="0" xr:uid="{93461A4C-971D-4FD7-87B5-55E1290473FB}">
      <text>
        <r>
          <rPr>
            <b/>
            <sz val="9"/>
            <color indexed="81"/>
            <rFont val="Tahoma"/>
            <family val="2"/>
          </rPr>
          <t>Admn:</t>
        </r>
        <r>
          <rPr>
            <sz val="9"/>
            <color indexed="81"/>
            <rFont val="Tahoma"/>
            <family val="2"/>
          </rPr>
          <t xml:space="preserve">
From the K9000 WE HAVE REMOVIED k7950 FOR 3,2 2025 AND THE REMAINING k1050 WILL TO PUT TOWARDS TUITION FEE IN THE SEMETER THAT SHE WILL RESUME INT 2026 JULY INTAKE. </t>
        </r>
      </text>
    </comment>
    <comment ref="F18" authorId="0" shapeId="0" xr:uid="{2E2A8839-D38C-4807-B170-EF6547B2F1FA}">
      <text>
        <r>
          <rPr>
            <b/>
            <sz val="9"/>
            <color indexed="81"/>
            <rFont val="Tahoma"/>
            <family val="2"/>
          </rPr>
          <t>Admn:</t>
        </r>
        <r>
          <rPr>
            <sz val="9"/>
            <color indexed="81"/>
            <rFont val="Tahoma"/>
            <family val="2"/>
          </rPr>
          <t xml:space="preserve">
FROM THE 12,000 PAID IN 2,2 ON 18.11.24
</t>
        </r>
      </text>
    </comment>
    <comment ref="H39" authorId="0" shapeId="0" xr:uid="{A186E26E-155D-4F40-8FC0-8AC7A02F221C}">
      <text>
        <r>
          <rPr>
            <b/>
            <sz val="9"/>
            <color indexed="81"/>
            <rFont val="Tahoma"/>
            <family val="2"/>
          </rPr>
          <t>Admn:</t>
        </r>
        <r>
          <rPr>
            <sz val="9"/>
            <color indexed="81"/>
            <rFont val="Tahoma"/>
            <family val="2"/>
          </rPr>
          <t xml:space="preserve">
OVER PAID LAST SEMESTER AND IT HAS BEEN PUT TO THIS SEMRSTER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Admn</author>
  </authors>
  <commentList>
    <comment ref="D24" authorId="0" shapeId="0" xr:uid="{601EF155-444B-4244-901B-71C680174665}">
      <text>
        <r>
          <rPr>
            <b/>
            <sz val="9"/>
            <color indexed="81"/>
            <rFont val="Tahoma"/>
            <charset val="1"/>
          </rPr>
          <t>Admn:</t>
        </r>
        <r>
          <rPr>
            <sz val="9"/>
            <color indexed="81"/>
            <rFont val="Tahoma"/>
            <charset val="1"/>
          </rPr>
          <t xml:space="preserve">
AUNT ROSE'S BILL</t>
        </r>
      </text>
    </comment>
    <comment ref="D39" authorId="0" shapeId="0" xr:uid="{3BCDC69D-88FA-46F7-AC93-58137AE5977A}">
      <text>
        <r>
          <rPr>
            <b/>
            <sz val="9"/>
            <color indexed="81"/>
            <rFont val="Tahoma"/>
            <charset val="1"/>
          </rPr>
          <t>Admn:</t>
        </r>
        <r>
          <rPr>
            <sz val="9"/>
            <color indexed="81"/>
            <rFont val="Tahoma"/>
            <charset val="1"/>
          </rPr>
          <t xml:space="preserve">
MRS LUISHA'S BILL</t>
        </r>
      </text>
    </comment>
    <comment ref="D42" authorId="0" shapeId="0" xr:uid="{89C57FE6-D99B-49AD-9C66-D0F1E1D08D95}">
      <text>
        <r>
          <rPr>
            <b/>
            <sz val="9"/>
            <color indexed="81"/>
            <rFont val="Tahoma"/>
            <charset val="1"/>
          </rPr>
          <t>Admn:</t>
        </r>
        <r>
          <rPr>
            <sz val="9"/>
            <color indexed="81"/>
            <rFont val="Tahoma"/>
            <charset val="1"/>
          </rPr>
          <t xml:space="preserve">
MRS LUISHA'S BILL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Admn</author>
  </authors>
  <commentList>
    <comment ref="F32" authorId="0" shapeId="0" xr:uid="{6EA39DA2-C160-4B5C-85A7-1B8BD967BBEC}">
      <text>
        <r>
          <rPr>
            <b/>
            <sz val="9"/>
            <color indexed="81"/>
            <rFont val="Tahoma"/>
            <family val="2"/>
          </rPr>
          <t>Admn:</t>
        </r>
        <r>
          <rPr>
            <sz val="9"/>
            <color indexed="81"/>
            <rFont val="Tahoma"/>
            <family val="2"/>
          </rPr>
          <t xml:space="preserve">
DR MUSONDA</t>
        </r>
      </text>
    </comment>
    <comment ref="D42" authorId="0" shapeId="0" xr:uid="{59556D0E-564A-449B-BDD0-D6BD05860B04}">
      <text>
        <r>
          <rPr>
            <b/>
            <sz val="9"/>
            <color indexed="81"/>
            <rFont val="Tahoma"/>
            <family val="2"/>
          </rPr>
          <t>Admn:</t>
        </r>
        <r>
          <rPr>
            <sz val="9"/>
            <color indexed="81"/>
            <rFont val="Tahoma"/>
            <family val="2"/>
          </rPr>
          <t xml:space="preserve">
TRANSFER STUDENT 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Admn</author>
  </authors>
  <commentList>
    <comment ref="E14" authorId="0" shapeId="0" xr:uid="{636871F8-2ECC-4F4C-A046-18BCCB2D7F92}">
      <text>
        <r>
          <rPr>
            <b/>
            <sz val="9"/>
            <color indexed="81"/>
            <rFont val="Tahoma"/>
            <family val="2"/>
          </rPr>
          <t>Admn:</t>
        </r>
        <r>
          <rPr>
            <sz val="9"/>
            <color indexed="81"/>
            <rFont val="Tahoma"/>
            <family val="2"/>
          </rPr>
          <t xml:space="preserve">
DEPOSITED INTO THE ACCOMODATION ACCOUNT</t>
        </r>
      </text>
    </comment>
    <comment ref="F14" authorId="0" shapeId="0" xr:uid="{710CB8E1-851A-4EAF-993E-C82A0EF03E6A}">
      <text>
        <r>
          <rPr>
            <b/>
            <sz val="9"/>
            <color indexed="81"/>
            <rFont val="Tahoma"/>
            <family val="2"/>
          </rPr>
          <t>Admn:</t>
        </r>
        <r>
          <rPr>
            <sz val="9"/>
            <color indexed="81"/>
            <rFont val="Tahoma"/>
            <family val="2"/>
          </rPr>
          <t xml:space="preserve">
DEPOSITED INTO THE ACCOCOMODATION ACCOUNT</t>
        </r>
      </text>
    </comment>
  </commentList>
</comments>
</file>

<file path=xl/sharedStrings.xml><?xml version="1.0" encoding="utf-8"?>
<sst xmlns="http://schemas.openxmlformats.org/spreadsheetml/2006/main" count="1300" uniqueCount="580">
  <si>
    <t>MUKUBA INSTITUTE OF HEALTH AND APPLIED SCIENCES</t>
  </si>
  <si>
    <t>RN5 JULY 2023 INTAKE</t>
  </si>
  <si>
    <t>COMPUTER NO.</t>
  </si>
  <si>
    <t>FIRST NAME</t>
  </si>
  <si>
    <t>SURNAME</t>
  </si>
  <si>
    <t>TOTAL FEES</t>
  </si>
  <si>
    <t>JUNE</t>
  </si>
  <si>
    <t>JULY</t>
  </si>
  <si>
    <t>AUG</t>
  </si>
  <si>
    <t>SEPT</t>
  </si>
  <si>
    <t>OCT</t>
  </si>
  <si>
    <t>NOV</t>
  </si>
  <si>
    <t>DEC</t>
  </si>
  <si>
    <t>TOTAL PAID</t>
  </si>
  <si>
    <t>BALANCE</t>
  </si>
  <si>
    <t>ROSEMARY</t>
  </si>
  <si>
    <t xml:space="preserve">MUSHENETI </t>
  </si>
  <si>
    <t>23.07.25</t>
  </si>
  <si>
    <t>PRIDE</t>
  </si>
  <si>
    <t>MULUBWA</t>
  </si>
  <si>
    <t>11.07.25</t>
  </si>
  <si>
    <t>MARY</t>
  </si>
  <si>
    <t>CHIKOMBA</t>
  </si>
  <si>
    <t>15.07.25</t>
  </si>
  <si>
    <t>26.09.25</t>
  </si>
  <si>
    <t>12.11.25</t>
  </si>
  <si>
    <t>TRUST</t>
  </si>
  <si>
    <t>LUNGU</t>
  </si>
  <si>
    <t>06.09.25</t>
  </si>
  <si>
    <t>NAOMI</t>
  </si>
  <si>
    <t>KAISA</t>
  </si>
  <si>
    <t>22.07.25</t>
  </si>
  <si>
    <t>07.08.25</t>
  </si>
  <si>
    <t>27.10.25</t>
  </si>
  <si>
    <t>20.11.25</t>
  </si>
  <si>
    <t>EDDIA</t>
  </si>
  <si>
    <t>MWILA</t>
  </si>
  <si>
    <t>14.07.25</t>
  </si>
  <si>
    <t>08.10.25</t>
  </si>
  <si>
    <t>25.11.25</t>
  </si>
  <si>
    <t>MUTINTA</t>
  </si>
  <si>
    <t>SIANCHOMPANI</t>
  </si>
  <si>
    <t>28.06.25</t>
  </si>
  <si>
    <t>17.07.25</t>
  </si>
  <si>
    <t>28.09.25</t>
  </si>
  <si>
    <t>19.11.25</t>
  </si>
  <si>
    <t>VIOLET</t>
  </si>
  <si>
    <t>BANDA</t>
  </si>
  <si>
    <t>SONGWE</t>
  </si>
  <si>
    <t>MUSONDA</t>
  </si>
  <si>
    <t>24.07.25</t>
  </si>
  <si>
    <t>25.07.25</t>
  </si>
  <si>
    <t>25.10.25</t>
  </si>
  <si>
    <t>21.11.25</t>
  </si>
  <si>
    <t>YOMBWE</t>
  </si>
  <si>
    <t>19.07.25</t>
  </si>
  <si>
    <t>30.09.25</t>
  </si>
  <si>
    <t>18.10.25</t>
  </si>
  <si>
    <t>10.11.25</t>
  </si>
  <si>
    <t>CHARITY</t>
  </si>
  <si>
    <t>MALAMA</t>
  </si>
  <si>
    <t>21.07.25</t>
  </si>
  <si>
    <t>23.10.25</t>
  </si>
  <si>
    <t>SIMON</t>
  </si>
  <si>
    <t>MATONGE</t>
  </si>
  <si>
    <t>26.10.25</t>
  </si>
  <si>
    <t xml:space="preserve">   </t>
  </si>
  <si>
    <t>28.10.25</t>
  </si>
  <si>
    <t>26.11.25</t>
  </si>
  <si>
    <t>MIKE</t>
  </si>
  <si>
    <t>MASHITA</t>
  </si>
  <si>
    <t>10.07.25</t>
  </si>
  <si>
    <t>07.10.25</t>
  </si>
  <si>
    <t>LUYANDO</t>
  </si>
  <si>
    <t>HANYOOLO</t>
  </si>
  <si>
    <t>04.07.25</t>
  </si>
  <si>
    <t>NIVEA</t>
  </si>
  <si>
    <t xml:space="preserve">KUNDA </t>
  </si>
  <si>
    <t>23.11.25</t>
  </si>
  <si>
    <t>GOESWELL</t>
  </si>
  <si>
    <t>24.10.25</t>
  </si>
  <si>
    <t>01.12.25</t>
  </si>
  <si>
    <t>07.01.26</t>
  </si>
  <si>
    <t>27.01.26</t>
  </si>
  <si>
    <t>MWAKA</t>
  </si>
  <si>
    <t>NYIMBILI</t>
  </si>
  <si>
    <t>TAMARAH</t>
  </si>
  <si>
    <t>29.07.25</t>
  </si>
  <si>
    <t>27.11.25</t>
  </si>
  <si>
    <t>MAYIMUNA</t>
  </si>
  <si>
    <t>DIA MACHAYI</t>
  </si>
  <si>
    <t>12.10.25</t>
  </si>
  <si>
    <t>16.10.25</t>
  </si>
  <si>
    <t>MELLAN</t>
  </si>
  <si>
    <t>LUPUPA</t>
  </si>
  <si>
    <t>22.11.25</t>
  </si>
  <si>
    <t>06.01.26</t>
  </si>
  <si>
    <t>BWALYA</t>
  </si>
  <si>
    <t>MWITWA</t>
  </si>
  <si>
    <t>18.07.25</t>
  </si>
  <si>
    <t>FLORENCE</t>
  </si>
  <si>
    <t>MOTELA</t>
  </si>
  <si>
    <t>12.07.25</t>
  </si>
  <si>
    <t>01.10.25</t>
  </si>
  <si>
    <t>27.08.25</t>
  </si>
  <si>
    <t>MISTILLA</t>
  </si>
  <si>
    <t>MPUNDU</t>
  </si>
  <si>
    <t>11.08.25</t>
  </si>
  <si>
    <t>04.12.25</t>
  </si>
  <si>
    <t>18.12.25</t>
  </si>
  <si>
    <t>SALOME</t>
  </si>
  <si>
    <t>NKWAMBANA</t>
  </si>
  <si>
    <t>SAMUEL</t>
  </si>
  <si>
    <t>CHILUFYA</t>
  </si>
  <si>
    <t>PETRONELLA</t>
  </si>
  <si>
    <t>MOTOKA</t>
  </si>
  <si>
    <t>04.11.25</t>
  </si>
  <si>
    <t>28.11.25</t>
  </si>
  <si>
    <t xml:space="preserve">JACKSON </t>
  </si>
  <si>
    <t>MULENGA</t>
  </si>
  <si>
    <t>JOSELINE</t>
  </si>
  <si>
    <t>CHIBANGE</t>
  </si>
  <si>
    <t>16.07.25</t>
  </si>
  <si>
    <t>TINA</t>
  </si>
  <si>
    <t>CHENGA</t>
  </si>
  <si>
    <t>MARY CHONGO</t>
  </si>
  <si>
    <t>NGOSA</t>
  </si>
  <si>
    <t>01.11.25</t>
  </si>
  <si>
    <t>03.11.25</t>
  </si>
  <si>
    <t>06.11.25</t>
  </si>
  <si>
    <t>CHIYANGI</t>
  </si>
  <si>
    <t>KAJIBA</t>
  </si>
  <si>
    <t>CHAMA</t>
  </si>
  <si>
    <t>MATIPA</t>
  </si>
  <si>
    <t>20.10.25</t>
  </si>
  <si>
    <t xml:space="preserve">NOAMI </t>
  </si>
  <si>
    <t>MWAPE</t>
  </si>
  <si>
    <t>FAITH</t>
  </si>
  <si>
    <t>24.11.25</t>
  </si>
  <si>
    <t>05.12.25</t>
  </si>
  <si>
    <t>CHRISTINE</t>
  </si>
  <si>
    <t>NAKAMBA</t>
  </si>
  <si>
    <t xml:space="preserve">ESTHER </t>
  </si>
  <si>
    <t>LOMBE</t>
  </si>
  <si>
    <t>27.09.25</t>
  </si>
  <si>
    <t>30.08.25</t>
  </si>
  <si>
    <t>27.07.25</t>
  </si>
  <si>
    <t>HELLEN</t>
  </si>
  <si>
    <t xml:space="preserve">CHRISTINE </t>
  </si>
  <si>
    <t>KABWE</t>
  </si>
  <si>
    <t>28.07.25</t>
  </si>
  <si>
    <t>REGISTERED NURSUNG RN6</t>
  </si>
  <si>
    <t>JANUARY 2024 INTAKE</t>
  </si>
  <si>
    <t>GLORIA</t>
  </si>
  <si>
    <t>PHIRI</t>
  </si>
  <si>
    <t>03.10.25</t>
  </si>
  <si>
    <t>31.10.25</t>
  </si>
  <si>
    <t>NATASHA</t>
  </si>
  <si>
    <t>CHILESHE</t>
  </si>
  <si>
    <t>23.12.25</t>
  </si>
  <si>
    <t>ADISTANESS</t>
  </si>
  <si>
    <t>EDITH</t>
  </si>
  <si>
    <t>NAMBELA</t>
  </si>
  <si>
    <t>10.10.25</t>
  </si>
  <si>
    <t>17.11.25</t>
  </si>
  <si>
    <t>EMMA</t>
  </si>
  <si>
    <t>KABALU</t>
  </si>
  <si>
    <t>20.07.25</t>
  </si>
  <si>
    <t>04.01.26</t>
  </si>
  <si>
    <t>NATALIE</t>
  </si>
  <si>
    <t>CHISHIMBA</t>
  </si>
  <si>
    <t>30.07.25</t>
  </si>
  <si>
    <t>09.10.25</t>
  </si>
  <si>
    <t>21.01.26</t>
  </si>
  <si>
    <t>MARGERT</t>
  </si>
  <si>
    <t>18.08.25</t>
  </si>
  <si>
    <t>BESNART</t>
  </si>
  <si>
    <t>DAKA</t>
  </si>
  <si>
    <t>09.07.25</t>
  </si>
  <si>
    <t>07.11.25</t>
  </si>
  <si>
    <t>BLESSINGS</t>
  </si>
  <si>
    <t>MALINGAPASI</t>
  </si>
  <si>
    <t>13.07.25</t>
  </si>
  <si>
    <t>21.10.25</t>
  </si>
  <si>
    <t>LISA</t>
  </si>
  <si>
    <t>KAWINA</t>
  </si>
  <si>
    <t>23.08.25</t>
  </si>
  <si>
    <t>MERCY</t>
  </si>
  <si>
    <t>NAMWASE</t>
  </si>
  <si>
    <t>05.09.25</t>
  </si>
  <si>
    <t>14.11.25</t>
  </si>
  <si>
    <t>NERIA</t>
  </si>
  <si>
    <t>MWENDA</t>
  </si>
  <si>
    <t>18.09.25</t>
  </si>
  <si>
    <t>WANIPA</t>
  </si>
  <si>
    <t>GONDWE</t>
  </si>
  <si>
    <t>BRIDGET</t>
  </si>
  <si>
    <t>LUBANGO</t>
  </si>
  <si>
    <t>SUWILANJI</t>
  </si>
  <si>
    <t>MARIA</t>
  </si>
  <si>
    <t>MBUNJI</t>
  </si>
  <si>
    <t>16.01.26</t>
  </si>
  <si>
    <t>LILLIAN</t>
  </si>
  <si>
    <t>24.12.25</t>
  </si>
  <si>
    <t>CECILIA</t>
  </si>
  <si>
    <t>SIBANDA</t>
  </si>
  <si>
    <t>ETHEL</t>
  </si>
  <si>
    <t>CHIWAFWA</t>
  </si>
  <si>
    <t>02.12.25</t>
  </si>
  <si>
    <t>KABASO</t>
  </si>
  <si>
    <t>17.12.25</t>
  </si>
  <si>
    <t>SUZEN</t>
  </si>
  <si>
    <t>NAMONJE</t>
  </si>
  <si>
    <t>NYANGU</t>
  </si>
  <si>
    <t>09.12.25</t>
  </si>
  <si>
    <t>SAMANTHA</t>
  </si>
  <si>
    <t>GOSS</t>
  </si>
  <si>
    <t>MOSES</t>
  </si>
  <si>
    <t>MBESHA</t>
  </si>
  <si>
    <t>12.08.25</t>
  </si>
  <si>
    <t>LUKWESA</t>
  </si>
  <si>
    <t>29.08.25</t>
  </si>
  <si>
    <t>ENESS</t>
  </si>
  <si>
    <t>.M. MULENGA</t>
  </si>
  <si>
    <t>01.09.25</t>
  </si>
  <si>
    <t>08.11.25</t>
  </si>
  <si>
    <t>JANE</t>
  </si>
  <si>
    <t>NYIKA</t>
  </si>
  <si>
    <t>KUNDA</t>
  </si>
  <si>
    <t>JACKLYN</t>
  </si>
  <si>
    <t>LONGWANI</t>
  </si>
  <si>
    <t>SANTE</t>
  </si>
  <si>
    <t>HOPE</t>
  </si>
  <si>
    <t>29.11.25</t>
  </si>
  <si>
    <t>CHISHALA</t>
  </si>
  <si>
    <t>09.11.25</t>
  </si>
  <si>
    <t>KASONGO</t>
  </si>
  <si>
    <t>26.07.25</t>
  </si>
  <si>
    <t>01.08.25</t>
  </si>
  <si>
    <t>30.10.25</t>
  </si>
  <si>
    <t>JOHN</t>
  </si>
  <si>
    <t>MULAISHO</t>
  </si>
  <si>
    <t>SELAN</t>
  </si>
  <si>
    <t>MULAKU</t>
  </si>
  <si>
    <t>15.08.25</t>
  </si>
  <si>
    <t>31.12.25</t>
  </si>
  <si>
    <t>MEMORY</t>
  </si>
  <si>
    <t>KAPEPA</t>
  </si>
  <si>
    <t>13.10.25</t>
  </si>
  <si>
    <t>BERTHA</t>
  </si>
  <si>
    <t>MULILO</t>
  </si>
  <si>
    <t>MWENYA</t>
  </si>
  <si>
    <t>KALUNGA</t>
  </si>
  <si>
    <t>RN7 STUDENTS   JULY 2024 INTAKE</t>
  </si>
  <si>
    <t>15.10.25</t>
  </si>
  <si>
    <t>PATIENCE</t>
  </si>
  <si>
    <t>PENGE</t>
  </si>
  <si>
    <t>15.09.25</t>
  </si>
  <si>
    <t>18.11.25</t>
  </si>
  <si>
    <t>MUNDANDO</t>
  </si>
  <si>
    <t>11.09.25</t>
  </si>
  <si>
    <t>MIRRIAM</t>
  </si>
  <si>
    <t>ZYAMBO</t>
  </si>
  <si>
    <t>MONICA</t>
  </si>
  <si>
    <t>KAONGA</t>
  </si>
  <si>
    <t>16.09.25</t>
  </si>
  <si>
    <t>LOVENESS</t>
  </si>
  <si>
    <t>MUTWALE</t>
  </si>
  <si>
    <t>29.09.25</t>
  </si>
  <si>
    <t>HILDAH</t>
  </si>
  <si>
    <t>SAKALA</t>
  </si>
  <si>
    <t>14.08.25</t>
  </si>
  <si>
    <t>28.08.25</t>
  </si>
  <si>
    <t>KAYULA</t>
  </si>
  <si>
    <t>CHANDA</t>
  </si>
  <si>
    <t>02.10.25</t>
  </si>
  <si>
    <t>GETRUDE</t>
  </si>
  <si>
    <t>KASINGILE</t>
  </si>
  <si>
    <t>24.08.25</t>
  </si>
  <si>
    <t>22.12.25</t>
  </si>
  <si>
    <t>CHINYOSHA</t>
  </si>
  <si>
    <t>CHIKUMBI</t>
  </si>
  <si>
    <t>26.08.25</t>
  </si>
  <si>
    <t>AGAPE</t>
  </si>
  <si>
    <t>MPAKANI</t>
  </si>
  <si>
    <t>22.08.25</t>
  </si>
  <si>
    <t>17.09.25</t>
  </si>
  <si>
    <t>SAKEYO</t>
  </si>
  <si>
    <t>10.09.25</t>
  </si>
  <si>
    <t>19.09.25</t>
  </si>
  <si>
    <t>SEKE</t>
  </si>
  <si>
    <t>21.08.25</t>
  </si>
  <si>
    <t>12.09.25</t>
  </si>
  <si>
    <t>ANGELA</t>
  </si>
  <si>
    <t>NGONA</t>
  </si>
  <si>
    <t>17.08.25</t>
  </si>
  <si>
    <t>BEATRICE</t>
  </si>
  <si>
    <t>CHULU</t>
  </si>
  <si>
    <t>DILAN</t>
  </si>
  <si>
    <t>MWIZA</t>
  </si>
  <si>
    <t>31.08.25</t>
  </si>
  <si>
    <t>JOAN</t>
  </si>
  <si>
    <t>KAMUA PETULU</t>
  </si>
  <si>
    <t>HAZIA</t>
  </si>
  <si>
    <t>MAPALO</t>
  </si>
  <si>
    <t>CHISULO</t>
  </si>
  <si>
    <t>03.09.25</t>
  </si>
  <si>
    <t>ESTHER</t>
  </si>
  <si>
    <t>MUMBA</t>
  </si>
  <si>
    <t>25.01.26</t>
  </si>
  <si>
    <t>03.02.26</t>
  </si>
  <si>
    <t>26.01.26</t>
  </si>
  <si>
    <t>REGISTERED NURSING JANUARY 2025 INTAKE ( RN8)</t>
  </si>
  <si>
    <t xml:space="preserve">FIRST NAME </t>
  </si>
  <si>
    <t>LAST NAME</t>
  </si>
  <si>
    <t>UNIFORM</t>
  </si>
  <si>
    <t>T-SHIRT</t>
  </si>
  <si>
    <t>JERSEY</t>
  </si>
  <si>
    <t>GNC MANUALS</t>
  </si>
  <si>
    <t>GNC INDEXING</t>
  </si>
  <si>
    <t>CAP</t>
  </si>
  <si>
    <t>TOTAL</t>
  </si>
  <si>
    <t>1st Payment</t>
  </si>
  <si>
    <t>Date</t>
  </si>
  <si>
    <t>2nd Payment</t>
  </si>
  <si>
    <t>3rd Payment</t>
  </si>
  <si>
    <t>4th Payment</t>
  </si>
  <si>
    <t xml:space="preserve">5th Payment </t>
  </si>
  <si>
    <t xml:space="preserve">6th Payment </t>
  </si>
  <si>
    <t>7th Payment</t>
  </si>
  <si>
    <t>8th Payment</t>
  </si>
  <si>
    <t>9th Payment</t>
  </si>
  <si>
    <t>JUN</t>
  </si>
  <si>
    <t>MUNGOLE</t>
  </si>
  <si>
    <t>WACHAAMA</t>
  </si>
  <si>
    <t>PURITY</t>
  </si>
  <si>
    <t xml:space="preserve">BERTHA </t>
  </si>
  <si>
    <t>CHIBUYE</t>
  </si>
  <si>
    <t>QUEEN</t>
  </si>
  <si>
    <t>ALINJAVWA</t>
  </si>
  <si>
    <t xml:space="preserve">AGNESS </t>
  </si>
  <si>
    <t>NKANDU</t>
  </si>
  <si>
    <t xml:space="preserve">TAONGA </t>
  </si>
  <si>
    <t>CHAPENUKA</t>
  </si>
  <si>
    <t>MUBANGA</t>
  </si>
  <si>
    <t>SOPHIA</t>
  </si>
  <si>
    <t>LUNDA</t>
  </si>
  <si>
    <t xml:space="preserve">GRACE </t>
  </si>
  <si>
    <t>MUBAMBE</t>
  </si>
  <si>
    <t>ZULU</t>
  </si>
  <si>
    <t>JOYCE</t>
  </si>
  <si>
    <t>MULUBWE</t>
  </si>
  <si>
    <t>16.11.25</t>
  </si>
  <si>
    <t>CHINFWEMBE</t>
  </si>
  <si>
    <t>TIZA</t>
  </si>
  <si>
    <t>15.07.24</t>
  </si>
  <si>
    <t>KAPANGALA</t>
  </si>
  <si>
    <t>BWEUPE</t>
  </si>
  <si>
    <t>03.07.25</t>
  </si>
  <si>
    <t>SERAH</t>
  </si>
  <si>
    <t>04.08.25</t>
  </si>
  <si>
    <t>13.09.25</t>
  </si>
  <si>
    <t>MWALE</t>
  </si>
  <si>
    <t>PEGGY</t>
  </si>
  <si>
    <t>HAMWEETE</t>
  </si>
  <si>
    <t>MUKUNSA</t>
  </si>
  <si>
    <t>KISHOMBE</t>
  </si>
  <si>
    <t>20.09.25</t>
  </si>
  <si>
    <t>25.09.25</t>
  </si>
  <si>
    <t>THELMA</t>
  </si>
  <si>
    <t>MWANZA</t>
  </si>
  <si>
    <t>24.09.25</t>
  </si>
  <si>
    <t>03.12.25</t>
  </si>
  <si>
    <t>DOROTHY</t>
  </si>
  <si>
    <t>CHIPAMPE</t>
  </si>
  <si>
    <t>DEBORAH</t>
  </si>
  <si>
    <t>06.10.25</t>
  </si>
  <si>
    <t xml:space="preserve">FRIDAH </t>
  </si>
  <si>
    <t>ZIMBA</t>
  </si>
  <si>
    <t>13.11.25</t>
  </si>
  <si>
    <t>BENJAMIN</t>
  </si>
  <si>
    <t>MBEWE</t>
  </si>
  <si>
    <t>15.11.25</t>
  </si>
  <si>
    <t>`</t>
  </si>
  <si>
    <t>MAJORY</t>
  </si>
  <si>
    <t>MUCHIMBA</t>
  </si>
  <si>
    <t>FOSTINA</t>
  </si>
  <si>
    <t>CHABU</t>
  </si>
  <si>
    <t>18.09.29</t>
  </si>
  <si>
    <t xml:space="preserve">ANNA </t>
  </si>
  <si>
    <t>MUMBA KALUMBA</t>
  </si>
  <si>
    <t>ROSINAH</t>
  </si>
  <si>
    <t>MUKALO</t>
  </si>
  <si>
    <t>SALIFYANJI</t>
  </si>
  <si>
    <t>NALUNGWE</t>
  </si>
  <si>
    <t>ALBERTINA</t>
  </si>
  <si>
    <t>KASALE</t>
  </si>
  <si>
    <t>MILIKAH</t>
  </si>
  <si>
    <t>MULONDA</t>
  </si>
  <si>
    <t>06.01.25</t>
  </si>
  <si>
    <t>MARTHA</t>
  </si>
  <si>
    <t>SABUMBA</t>
  </si>
  <si>
    <t>UNFORMS</t>
  </si>
  <si>
    <t>T-SHIRTS</t>
  </si>
  <si>
    <t>GNC</t>
  </si>
  <si>
    <t>PAID</t>
  </si>
  <si>
    <t>REGISTERED NURSING JULY 2025 INTAKE RN9</t>
  </si>
  <si>
    <t>COMPUTER NO</t>
  </si>
  <si>
    <t>JESSY</t>
  </si>
  <si>
    <t>MANUALS</t>
  </si>
  <si>
    <t>RACHEAL</t>
  </si>
  <si>
    <t>VIRUKAYI</t>
  </si>
  <si>
    <t>28.02.25</t>
  </si>
  <si>
    <t>22.09.25</t>
  </si>
  <si>
    <t>RABBECCA</t>
  </si>
  <si>
    <t>MWEWA</t>
  </si>
  <si>
    <t>BARBRA</t>
  </si>
  <si>
    <t>30.06.25</t>
  </si>
  <si>
    <t>MWAMWAYA</t>
  </si>
  <si>
    <t>MICKNESS</t>
  </si>
  <si>
    <t>02.07.25</t>
  </si>
  <si>
    <t>25.03.25</t>
  </si>
  <si>
    <t>28.05.25</t>
  </si>
  <si>
    <t>MIDAH</t>
  </si>
  <si>
    <t>SAITI</t>
  </si>
  <si>
    <t>TIZASO</t>
  </si>
  <si>
    <t>KAIRA</t>
  </si>
  <si>
    <t>05.01.26</t>
  </si>
  <si>
    <t>RITA</t>
  </si>
  <si>
    <t>09.06.25</t>
  </si>
  <si>
    <t>TAONGA</t>
  </si>
  <si>
    <t>04.10.25</t>
  </si>
  <si>
    <t>WOMBA</t>
  </si>
  <si>
    <t>CHITENGI</t>
  </si>
  <si>
    <t>02.11.25</t>
  </si>
  <si>
    <t>IZUKANJI</t>
  </si>
  <si>
    <t>HAPPY CHABU</t>
  </si>
  <si>
    <t>25.06.25</t>
  </si>
  <si>
    <t>JOSEPHINE</t>
  </si>
  <si>
    <t>CHIPILI</t>
  </si>
  <si>
    <t xml:space="preserve">IREEN </t>
  </si>
  <si>
    <t>LOLO MOFYA</t>
  </si>
  <si>
    <t>GRACE</t>
  </si>
  <si>
    <t>06.08.25</t>
  </si>
  <si>
    <t>21.09.25</t>
  </si>
  <si>
    <t>MWANSA</t>
  </si>
  <si>
    <t>BELINA</t>
  </si>
  <si>
    <t>LUSAMBO</t>
  </si>
  <si>
    <t>MELINA</t>
  </si>
  <si>
    <t>BUCZKO</t>
  </si>
  <si>
    <t>KAMWANYA</t>
  </si>
  <si>
    <t>KETTY</t>
  </si>
  <si>
    <t>JENNIFER</t>
  </si>
  <si>
    <t>18.06.25</t>
  </si>
  <si>
    <t xml:space="preserve">                                                     RN4 CLASS LIST</t>
  </si>
  <si>
    <t>CENTER   FEE</t>
  </si>
  <si>
    <t>CHILONGA</t>
  </si>
  <si>
    <t>LEON</t>
  </si>
  <si>
    <t>08.08.25</t>
  </si>
  <si>
    <t>HENRIETHER</t>
  </si>
  <si>
    <t>05.08.25</t>
  </si>
  <si>
    <t>MUKENAMO</t>
  </si>
  <si>
    <t>RUTH</t>
  </si>
  <si>
    <t>02.09.25</t>
  </si>
  <si>
    <t>29.10.25</t>
  </si>
  <si>
    <t xml:space="preserve">KWABE </t>
  </si>
  <si>
    <t>TIZIBENJI</t>
  </si>
  <si>
    <t>VASI</t>
  </si>
  <si>
    <t>MUSAKALU</t>
  </si>
  <si>
    <t>CHILEKWA</t>
  </si>
  <si>
    <t>SARA</t>
  </si>
  <si>
    <t>MAFUTA</t>
  </si>
  <si>
    <t>08.09.25</t>
  </si>
  <si>
    <t>15.01.26</t>
  </si>
  <si>
    <t>21.03.26</t>
  </si>
  <si>
    <t>14.04.26</t>
  </si>
  <si>
    <t>NORIAH</t>
  </si>
  <si>
    <t>07.09.25</t>
  </si>
  <si>
    <t>26.03.26</t>
  </si>
  <si>
    <t>MAKUMBA</t>
  </si>
  <si>
    <t>CONSTANCE</t>
  </si>
  <si>
    <t>KAWECHE</t>
  </si>
  <si>
    <t>DELIA</t>
  </si>
  <si>
    <t>01.02.26</t>
  </si>
  <si>
    <t>23.03.26</t>
  </si>
  <si>
    <t>CATHERINE</t>
  </si>
  <si>
    <t>CHIYESU</t>
  </si>
  <si>
    <t>20.11.26</t>
  </si>
  <si>
    <t xml:space="preserve">MWAPE </t>
  </si>
  <si>
    <t>SANDRA</t>
  </si>
  <si>
    <t>23.06.25</t>
  </si>
  <si>
    <t>05.10.25</t>
  </si>
  <si>
    <t>DORIS</t>
  </si>
  <si>
    <t>19.10.25</t>
  </si>
  <si>
    <t>18.11.24</t>
  </si>
  <si>
    <t>19.06.25</t>
  </si>
  <si>
    <t>ANNIE</t>
  </si>
  <si>
    <t>KAJIYA</t>
  </si>
  <si>
    <t>MAPULANGA</t>
  </si>
  <si>
    <t>03.08.25</t>
  </si>
  <si>
    <t>KAMBOLE</t>
  </si>
  <si>
    <t>01.07.25</t>
  </si>
  <si>
    <t>26.02.26</t>
  </si>
  <si>
    <t>NYIRENDA</t>
  </si>
  <si>
    <t>TOWELA</t>
  </si>
  <si>
    <t xml:space="preserve">NYANGULU </t>
  </si>
  <si>
    <t>SUSAN</t>
  </si>
  <si>
    <t>SAASA</t>
  </si>
  <si>
    <t>17.10.25</t>
  </si>
  <si>
    <t>CHIKANYA</t>
  </si>
  <si>
    <t>TEMBO</t>
  </si>
  <si>
    <t>JOY NYAMITA</t>
  </si>
  <si>
    <t>26.04.26</t>
  </si>
  <si>
    <t>21.05.25</t>
  </si>
  <si>
    <t>MWAMBA</t>
  </si>
  <si>
    <t>ELIZABETH</t>
  </si>
  <si>
    <t>KAPWEPWE</t>
  </si>
  <si>
    <t>02.04.25</t>
  </si>
  <si>
    <t>25.08.25</t>
  </si>
  <si>
    <t>GIFT</t>
  </si>
  <si>
    <t>SINJABU</t>
  </si>
  <si>
    <t>IREEN</t>
  </si>
  <si>
    <t>08.09.15</t>
  </si>
  <si>
    <t>LISTER</t>
  </si>
  <si>
    <t>CHELLAH</t>
  </si>
  <si>
    <t>BETTY</t>
  </si>
  <si>
    <t>MASONGO</t>
  </si>
  <si>
    <t>DEBRA</t>
  </si>
  <si>
    <t>02.05.25</t>
  </si>
  <si>
    <t xml:space="preserve">SAMINGANJA </t>
  </si>
  <si>
    <t>FYANTONTO</t>
  </si>
  <si>
    <t>WENDY</t>
  </si>
  <si>
    <t>MWELWA</t>
  </si>
  <si>
    <t>PRINCESS</t>
  </si>
  <si>
    <t>13.08.25</t>
  </si>
  <si>
    <t>05.11.25</t>
  </si>
  <si>
    <t>CHILIMO</t>
  </si>
  <si>
    <t>CAROL</t>
  </si>
  <si>
    <t xml:space="preserve">CHAPEWA </t>
  </si>
  <si>
    <t>RONEL</t>
  </si>
  <si>
    <t>SHAMENDE</t>
  </si>
  <si>
    <t>EMMANUEL</t>
  </si>
  <si>
    <t xml:space="preserve">LUCY </t>
  </si>
  <si>
    <t>MUKOSHA</t>
  </si>
  <si>
    <t>10.04.26</t>
  </si>
  <si>
    <t>29.04.26</t>
  </si>
  <si>
    <t xml:space="preserve">LETICIA  </t>
  </si>
  <si>
    <t xml:space="preserve">MABLE </t>
  </si>
  <si>
    <t>PELEKELO</t>
  </si>
  <si>
    <t>SITALI</t>
  </si>
  <si>
    <t>04.09.25</t>
  </si>
  <si>
    <t>PRISCA</t>
  </si>
  <si>
    <t>MWIKA</t>
  </si>
  <si>
    <t>HARRIET</t>
  </si>
  <si>
    <t>KALENGA</t>
  </si>
  <si>
    <t>MFULA</t>
  </si>
  <si>
    <t>KASONDE</t>
  </si>
  <si>
    <t>JOKINA</t>
  </si>
  <si>
    <t>CHANSA</t>
  </si>
  <si>
    <t>GLADYS</t>
  </si>
  <si>
    <t>MUMBI</t>
  </si>
  <si>
    <t>CHIKALIPA</t>
  </si>
  <si>
    <t>MATHEWS</t>
  </si>
  <si>
    <t>NACHILIMA</t>
  </si>
  <si>
    <t>27.04.26</t>
  </si>
  <si>
    <t>JACQULINE</t>
  </si>
  <si>
    <t>02.01.26</t>
  </si>
  <si>
    <t>12.01.26</t>
  </si>
  <si>
    <t>20.01.26</t>
  </si>
  <si>
    <t>27.12.25</t>
  </si>
  <si>
    <t>11.03.26</t>
  </si>
  <si>
    <t>08.01.26</t>
  </si>
  <si>
    <t>02.04.26</t>
  </si>
  <si>
    <t>11.12.25</t>
  </si>
  <si>
    <t>20.04.26</t>
  </si>
  <si>
    <t>17.01.26</t>
  </si>
  <si>
    <t>KASHIYA</t>
  </si>
  <si>
    <t>NANCY</t>
  </si>
  <si>
    <t>MULENGA SLO</t>
  </si>
  <si>
    <t>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</si>
</sst>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7"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Bookman Old Style"/>
      <family val="1"/>
    </font>
    <font>
      <b/>
      <sz val="12"/>
      <color theme="1"/>
      <name val="Bookman Old Style"/>
      <family val="1"/>
    </font>
    <font>
      <sz val="12"/>
      <name val="Bookman Old Style"/>
      <family val="1"/>
    </font>
    <font>
      <b/>
      <sz val="9"/>
      <color indexed="81"/>
      <name val="Tahoma"/>
      <family val="2"/>
    </font>
    <font>
      <sz val="9"/>
      <color indexed="81"/>
      <name val="Tahoma"/>
      <family val="2"/>
    </font>
    <font>
      <b/>
      <sz val="14"/>
      <color theme="1"/>
      <name val="Aptos Narrow"/>
      <family val="2"/>
      <scheme val="minor"/>
    </font>
    <font>
      <b/>
      <sz val="14"/>
      <color theme="1"/>
      <name val="Arial Black"/>
      <family val="2"/>
    </font>
    <font>
      <sz val="14"/>
      <color theme="1"/>
      <name val="Aptos Narrow"/>
      <family val="2"/>
      <scheme val="minor"/>
    </font>
    <font>
      <sz val="14"/>
      <color theme="1"/>
      <name val="Arial Black"/>
      <family val="2"/>
    </font>
    <font>
      <b/>
      <sz val="12"/>
      <color theme="1"/>
      <name val="Aptos Narrow"/>
      <family val="2"/>
      <scheme val="minor"/>
    </font>
    <font>
      <sz val="12"/>
      <color theme="1"/>
      <name val="Aptos Narrow"/>
      <family val="2"/>
      <scheme val="minor"/>
    </font>
    <font>
      <sz val="11"/>
      <name val="Aptos Narrow"/>
      <family val="2"/>
      <scheme val="minor"/>
    </font>
    <font>
      <sz val="11"/>
      <color theme="1"/>
      <name val="Calibri"/>
      <family val="2"/>
    </font>
    <font>
      <b/>
      <sz val="16"/>
      <color theme="1"/>
      <name val="Aptos Narrow"/>
      <family val="2"/>
      <scheme val="minor"/>
    </font>
    <font>
      <b/>
      <sz val="11"/>
      <color theme="1"/>
      <name val="Calibri"/>
      <family val="2"/>
    </font>
    <font>
      <sz val="16"/>
      <color theme="1"/>
      <name val="Arial Black"/>
      <family val="2"/>
    </font>
    <font>
      <sz val="11"/>
      <color theme="1"/>
      <name val="Arial Black"/>
      <family val="2"/>
    </font>
    <font>
      <b/>
      <sz val="16"/>
      <color theme="1"/>
      <name val="Arial Black"/>
      <family val="2"/>
    </font>
    <font>
      <sz val="16"/>
      <color theme="1"/>
      <name val="Aptos Narrow"/>
      <family val="2"/>
      <scheme val="minor"/>
    </font>
    <font>
      <b/>
      <sz val="14"/>
      <color theme="1"/>
      <name val="Calibri"/>
      <family val="2"/>
    </font>
    <font>
      <b/>
      <sz val="12"/>
      <color theme="1"/>
      <name val="Calibri"/>
      <family val="2"/>
    </font>
    <font>
      <sz val="12"/>
      <color theme="1"/>
      <name val="Calibri"/>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9">
    <xf numFmtId="0" fontId="0" fillId="0" borderId="0" xfId="0"/>
    <xf numFmtId="0" fontId="3" fillId="0" borderId="0" xfId="0" applyFont="1"/>
    <xf numFmtId="0" fontId="4" fillId="0" borderId="0" xfId="0" applyFont="1" applyAlignment="1">
      <alignment horizontal="left" indent="11"/>
    </xf>
    <xf numFmtId="0" fontId="4" fillId="0" borderId="0" xfId="0" applyFont="1"/>
    <xf numFmtId="0" fontId="4" fillId="0" borderId="0" xfId="0" applyFont="1" applyAlignment="1">
      <alignment horizontal="left" vertical="top" indent="19"/>
    </xf>
    <xf numFmtId="0" fontId="5" fillId="0" borderId="0" xfId="0" applyFont="1" applyAlignment="1">
      <alignment horizontal="center"/>
    </xf>
    <xf numFmtId="0" fontId="5" fillId="0" borderId="0" xfId="0" applyFont="1"/>
    <xf numFmtId="0" fontId="3" fillId="0" borderId="0" xfId="0" applyFont="1" applyAlignment="1">
      <alignment horizontal="center"/>
    </xf>
    <xf numFmtId="43" fontId="4" fillId="0" borderId="0" xfId="1" applyFont="1"/>
    <xf numFmtId="43" fontId="4" fillId="0" borderId="0" xfId="0" applyNumberFormat="1" applyFont="1"/>
    <xf numFmtId="0" fontId="8" fillId="0" borderId="0" xfId="0" applyFont="1"/>
    <xf numFmtId="0" fontId="9" fillId="0" borderId="0" xfId="0" applyFont="1" applyAlignment="1">
      <alignment horizontal="left" indent="18"/>
    </xf>
    <xf numFmtId="0" fontId="10" fillId="0" borderId="0" xfId="0" applyFont="1"/>
    <xf numFmtId="0" fontId="8" fillId="0" borderId="0" xfId="0" applyFont="1" applyAlignment="1">
      <alignment horizontal="left" indent="26"/>
    </xf>
    <xf numFmtId="0" fontId="10" fillId="0" borderId="0" xfId="0" applyFont="1" applyAlignment="1">
      <alignment horizontal="left" indent="4"/>
    </xf>
    <xf numFmtId="0" fontId="11" fillId="0" borderId="0" xfId="0" applyFont="1" applyAlignment="1">
      <alignment horizontal="left" indent="9"/>
    </xf>
    <xf numFmtId="0" fontId="10" fillId="0" borderId="0" xfId="0" applyFont="1" applyAlignment="1">
      <alignment horizontal="center"/>
    </xf>
    <xf numFmtId="0" fontId="12" fillId="0" borderId="0" xfId="0" applyFont="1"/>
    <xf numFmtId="0" fontId="2" fillId="0" borderId="0" xfId="0" applyFont="1"/>
    <xf numFmtId="0" fontId="13" fillId="0" borderId="0" xfId="0" applyFont="1"/>
    <xf numFmtId="0" fontId="14" fillId="0" borderId="0" xfId="0" applyFont="1"/>
    <xf numFmtId="0" fontId="15" fillId="0" borderId="0" xfId="0" applyFont="1"/>
    <xf numFmtId="43" fontId="8" fillId="0" borderId="0" xfId="1" applyFont="1"/>
    <xf numFmtId="43" fontId="12" fillId="0" borderId="0" xfId="1" applyFont="1"/>
    <xf numFmtId="43" fontId="16" fillId="0" borderId="0" xfId="1" applyFont="1"/>
    <xf numFmtId="43" fontId="2" fillId="0" borderId="0" xfId="1" applyFont="1"/>
    <xf numFmtId="43" fontId="17" fillId="0" borderId="0" xfId="1" applyFont="1"/>
    <xf numFmtId="43" fontId="8" fillId="0" borderId="0" xfId="0" applyNumberFormat="1" applyFont="1"/>
    <xf numFmtId="0" fontId="18" fillId="0" borderId="0" xfId="0" applyFont="1" applyAlignment="1">
      <alignment horizontal="left"/>
    </xf>
    <xf numFmtId="0" fontId="10" fillId="2" borderId="0" xfId="0" applyFont="1" applyFill="1"/>
    <xf numFmtId="43" fontId="2" fillId="0" borderId="0" xfId="0" applyNumberFormat="1" applyFont="1"/>
    <xf numFmtId="0" fontId="16" fillId="0" borderId="0" xfId="0" applyFont="1"/>
    <xf numFmtId="0" fontId="20" fillId="0" borderId="0" xfId="0" applyFont="1" applyAlignment="1">
      <alignment horizontal="left" indent="8"/>
    </xf>
    <xf numFmtId="0" fontId="8" fillId="0" borderId="0" xfId="0" applyFont="1" applyAlignment="1">
      <alignment horizontal="center"/>
    </xf>
    <xf numFmtId="164" fontId="10" fillId="0" borderId="0" xfId="1" applyNumberFormat="1" applyFont="1" applyAlignment="1">
      <alignment horizontal="center"/>
    </xf>
    <xf numFmtId="0" fontId="20" fillId="0" borderId="0" xfId="0" applyFont="1" applyAlignment="1">
      <alignment horizontal="left" indent="10"/>
    </xf>
    <xf numFmtId="0" fontId="12" fillId="0" borderId="0" xfId="0" applyFont="1" applyAlignment="1">
      <alignment horizontal="center"/>
    </xf>
    <xf numFmtId="164" fontId="12" fillId="0" borderId="0" xfId="1" applyNumberFormat="1" applyFont="1" applyAlignment="1">
      <alignment horizontal="center"/>
    </xf>
    <xf numFmtId="0" fontId="21" fillId="0" borderId="0" xfId="0" applyFont="1"/>
    <xf numFmtId="164" fontId="10" fillId="0" borderId="0" xfId="1" applyNumberFormat="1" applyFont="1" applyAlignment="1">
      <alignment horizontal="center" vertical="center"/>
    </xf>
    <xf numFmtId="0" fontId="10" fillId="0" borderId="0" xfId="0" applyFont="1" applyAlignment="1">
      <alignment horizontal="center" vertical="center"/>
    </xf>
    <xf numFmtId="164" fontId="0" fillId="0" borderId="0" xfId="1" applyNumberFormat="1" applyFont="1"/>
    <xf numFmtId="164" fontId="0" fillId="0" borderId="0" xfId="0" applyNumberFormat="1"/>
    <xf numFmtId="0" fontId="10" fillId="2" borderId="0" xfId="0" applyFont="1" applyFill="1" applyAlignment="1">
      <alignment horizontal="center"/>
    </xf>
    <xf numFmtId="0" fontId="0" fillId="0" borderId="0" xfId="0" applyAlignment="1">
      <alignment horizontal="center" vertical="center"/>
    </xf>
    <xf numFmtId="0" fontId="1" fillId="0" borderId="0" xfId="0" applyFont="1"/>
    <xf numFmtId="164" fontId="1" fillId="0" borderId="0" xfId="1" applyNumberFormat="1" applyFont="1"/>
    <xf numFmtId="43" fontId="8" fillId="0" borderId="0" xfId="1" applyFont="1" applyAlignment="1">
      <alignment horizontal="center"/>
    </xf>
    <xf numFmtId="164" fontId="8" fillId="0" borderId="0" xfId="1" applyNumberFormat="1" applyFont="1" applyAlignment="1">
      <alignment horizontal="center"/>
    </xf>
    <xf numFmtId="164" fontId="2" fillId="0" borderId="0" xfId="1" applyNumberFormat="1" applyFont="1"/>
    <xf numFmtId="164" fontId="8" fillId="0" borderId="0" xfId="1" applyNumberFormat="1" applyFont="1"/>
    <xf numFmtId="164" fontId="8" fillId="0" borderId="0" xfId="0" applyNumberFormat="1" applyFont="1"/>
    <xf numFmtId="164" fontId="12" fillId="0" borderId="0" xfId="1" applyNumberFormat="1" applyFont="1"/>
    <xf numFmtId="0" fontId="20" fillId="0" borderId="0" xfId="0" applyFont="1"/>
    <xf numFmtId="43" fontId="12" fillId="0" borderId="0" xfId="0" applyNumberFormat="1" applyFont="1"/>
    <xf numFmtId="0" fontId="22" fillId="0" borderId="0" xfId="0" applyFont="1"/>
    <xf numFmtId="0" fontId="23" fillId="0" borderId="0" xfId="0" applyFont="1"/>
    <xf numFmtId="0" fontId="22" fillId="0" borderId="0" xfId="0" applyFont="1" applyAlignment="1">
      <alignment horizontal="center"/>
    </xf>
    <xf numFmtId="0" fontId="0" fillId="0" borderId="1" xfId="0" applyBorder="1"/>
    <xf numFmtId="0" fontId="0" fillId="2" borderId="0" xfId="0" applyFill="1"/>
    <xf numFmtId="0" fontId="24" fillId="0" borderId="0" xfId="0" applyFont="1"/>
    <xf numFmtId="0" fontId="11" fillId="0" borderId="0" xfId="0" applyFont="1" applyAlignment="1">
      <alignment horizontal="center"/>
    </xf>
    <xf numFmtId="0" fontId="19" fillId="0" borderId="0" xfId="0" applyFont="1" applyAlignment="1">
      <alignment horizontal="center"/>
    </xf>
    <xf numFmtId="0" fontId="10" fillId="3" borderId="0" xfId="0" applyFont="1" applyFill="1"/>
    <xf numFmtId="0" fontId="0" fillId="3" borderId="0" xfId="0" applyFill="1"/>
    <xf numFmtId="0" fontId="13" fillId="3" borderId="0" xfId="0" applyFont="1" applyFill="1"/>
    <xf numFmtId="0" fontId="15" fillId="3" borderId="0" xfId="0" applyFont="1" applyFill="1"/>
    <xf numFmtId="0" fontId="3" fillId="3" borderId="0" xfId="0" applyFont="1" applyFill="1"/>
    <xf numFmtId="0" fontId="3" fillId="3"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D772-56F5-4CB9-B85B-24091454BDF9}">
  <dimension ref="A1:BI65"/>
  <sheetViews>
    <sheetView topLeftCell="J1" workbookViewId="0">
      <selection activeCell="AF55" sqref="AF55"/>
    </sheetView>
  </sheetViews>
  <sheetFormatPr defaultRowHeight="15" x14ac:dyDescent="0.25"/>
  <cols>
    <col min="2" max="2" width="13.7109375" customWidth="1"/>
    <col min="3" max="3" width="16.28515625" customWidth="1"/>
    <col min="4" max="4" width="19.7109375" customWidth="1"/>
    <col min="5" max="5" width="16.5703125" customWidth="1"/>
    <col min="6" max="6" width="10.5703125" bestFit="1" customWidth="1"/>
    <col min="8" max="8" width="11.5703125" bestFit="1" customWidth="1"/>
    <col min="10" max="10" width="10.5703125" bestFit="1" customWidth="1"/>
    <col min="12" max="12" width="10.5703125" bestFit="1" customWidth="1"/>
    <col min="14" max="14" width="10.5703125" bestFit="1" customWidth="1"/>
    <col min="28" max="28" width="7.28515625" customWidth="1"/>
    <col min="29" max="29" width="4.28515625" hidden="1" customWidth="1"/>
    <col min="30" max="30" width="18.28515625" customWidth="1"/>
    <col min="31" max="31" width="16" bestFit="1" customWidth="1"/>
    <col min="33" max="33" width="11.85546875" customWidth="1"/>
    <col min="34" max="34" width="12.85546875" customWidth="1"/>
    <col min="35" max="35" width="16.5703125" customWidth="1"/>
  </cols>
  <sheetData>
    <row r="1" spans="1:35" ht="18.75" x14ac:dyDescent="0.3">
      <c r="B1" s="12"/>
      <c r="C1" s="55" t="s">
        <v>0</v>
      </c>
      <c r="D1" s="55"/>
      <c r="E1" s="55"/>
      <c r="F1" s="55"/>
      <c r="G1" s="56"/>
    </row>
    <row r="2" spans="1:35" ht="18.75" x14ac:dyDescent="0.3">
      <c r="B2" s="12"/>
      <c r="C2" s="57" t="s">
        <v>454</v>
      </c>
      <c r="D2" s="55"/>
      <c r="E2" s="55"/>
      <c r="F2" s="55"/>
      <c r="G2" s="56"/>
    </row>
    <row r="3" spans="1:35" ht="18.75" x14ac:dyDescent="0.3">
      <c r="A3" s="17"/>
      <c r="B3" s="17" t="s">
        <v>2</v>
      </c>
      <c r="C3" s="17" t="s">
        <v>4</v>
      </c>
      <c r="D3" s="17" t="s">
        <v>3</v>
      </c>
      <c r="E3" s="17" t="s">
        <v>5</v>
      </c>
      <c r="F3" s="17" t="s">
        <v>6</v>
      </c>
      <c r="H3" s="17" t="s">
        <v>7</v>
      </c>
      <c r="J3" s="18" t="s">
        <v>8</v>
      </c>
      <c r="L3" s="18" t="s">
        <v>9</v>
      </c>
      <c r="N3" s="18" t="s">
        <v>10</v>
      </c>
      <c r="P3" s="18" t="s">
        <v>11</v>
      </c>
      <c r="R3" s="18" t="s">
        <v>12</v>
      </c>
      <c r="AC3" s="17"/>
      <c r="AD3" s="17" t="s">
        <v>13</v>
      </c>
      <c r="AE3" s="17" t="s">
        <v>14</v>
      </c>
      <c r="AF3" s="10"/>
      <c r="AG3" s="10" t="s">
        <v>455</v>
      </c>
      <c r="AH3" s="10"/>
    </row>
    <row r="4" spans="1:35" ht="15.75" x14ac:dyDescent="0.25">
      <c r="A4">
        <v>1</v>
      </c>
      <c r="B4" s="19">
        <v>202301001</v>
      </c>
      <c r="C4" s="19" t="s">
        <v>456</v>
      </c>
      <c r="D4" s="19" t="s">
        <v>457</v>
      </c>
      <c r="E4">
        <f>7950</f>
        <v>7950</v>
      </c>
      <c r="I4" s="19"/>
      <c r="J4" s="19">
        <v>9000</v>
      </c>
      <c r="K4" s="19" t="s">
        <v>458</v>
      </c>
      <c r="L4" s="19"/>
      <c r="AD4">
        <f>J4+L4+F4+P4+R4+T4+V4+AB4</f>
        <v>9000</v>
      </c>
      <c r="AE4">
        <f t="shared" ref="AE4:AE40" si="0">E4-AD4</f>
        <v>-1050</v>
      </c>
      <c r="AG4" s="58"/>
      <c r="AH4" s="58"/>
      <c r="AI4" s="58"/>
    </row>
    <row r="5" spans="1:35" ht="15.75" x14ac:dyDescent="0.25">
      <c r="A5">
        <v>2</v>
      </c>
      <c r="B5" s="19">
        <v>202301002</v>
      </c>
      <c r="C5" s="19" t="s">
        <v>252</v>
      </c>
      <c r="D5" s="19" t="s">
        <v>459</v>
      </c>
      <c r="E5">
        <f>7950</f>
        <v>7950</v>
      </c>
      <c r="H5">
        <v>2500</v>
      </c>
      <c r="I5" t="s">
        <v>460</v>
      </c>
      <c r="J5">
        <v>1500</v>
      </c>
      <c r="K5" t="s">
        <v>107</v>
      </c>
      <c r="L5">
        <v>1500</v>
      </c>
      <c r="M5" t="s">
        <v>189</v>
      </c>
      <c r="N5">
        <v>500</v>
      </c>
      <c r="O5" t="s">
        <v>92</v>
      </c>
      <c r="P5">
        <v>1950</v>
      </c>
      <c r="Q5" t="s">
        <v>33</v>
      </c>
      <c r="AD5">
        <f>F5+H5+J5+L5+V5+N5+P5</f>
        <v>7950</v>
      </c>
      <c r="AE5">
        <f t="shared" si="0"/>
        <v>0</v>
      </c>
      <c r="AG5" s="58"/>
      <c r="AH5" s="58"/>
      <c r="AI5" s="58"/>
    </row>
    <row r="6" spans="1:35" ht="15.75" x14ac:dyDescent="0.25">
      <c r="A6">
        <v>3</v>
      </c>
      <c r="B6" s="19">
        <v>202301003</v>
      </c>
      <c r="C6" s="19" t="s">
        <v>461</v>
      </c>
      <c r="D6" s="19" t="s">
        <v>462</v>
      </c>
      <c r="E6">
        <f>7950</f>
        <v>7950</v>
      </c>
      <c r="H6">
        <v>4000</v>
      </c>
      <c r="I6" t="s">
        <v>75</v>
      </c>
      <c r="J6" s="19"/>
      <c r="K6" s="19"/>
      <c r="L6" s="19">
        <v>2000</v>
      </c>
      <c r="M6" s="19" t="s">
        <v>463</v>
      </c>
      <c r="N6">
        <v>1950</v>
      </c>
      <c r="O6" t="s">
        <v>464</v>
      </c>
      <c r="AD6">
        <f>J6+L6+N6+F6+H6+T6+V6+AB6</f>
        <v>7950</v>
      </c>
      <c r="AE6">
        <f t="shared" si="0"/>
        <v>0</v>
      </c>
      <c r="AG6" s="58"/>
      <c r="AH6" s="58"/>
      <c r="AI6" s="58"/>
    </row>
    <row r="7" spans="1:35" ht="15.75" x14ac:dyDescent="0.25">
      <c r="A7">
        <v>4</v>
      </c>
      <c r="B7" s="19">
        <v>202301004</v>
      </c>
      <c r="C7" s="19" t="s">
        <v>465</v>
      </c>
      <c r="D7" s="19" t="s">
        <v>466</v>
      </c>
      <c r="E7">
        <f>7950</f>
        <v>7950</v>
      </c>
      <c r="F7" s="19"/>
      <c r="G7" s="19"/>
      <c r="H7" s="19"/>
      <c r="I7" s="19"/>
      <c r="J7" s="19">
        <v>6000</v>
      </c>
      <c r="K7" s="19" t="s">
        <v>238</v>
      </c>
      <c r="L7" s="19"/>
      <c r="N7">
        <v>1000</v>
      </c>
      <c r="O7" t="s">
        <v>103</v>
      </c>
      <c r="P7">
        <v>950</v>
      </c>
      <c r="Q7" t="s">
        <v>67</v>
      </c>
      <c r="AD7">
        <f t="shared" ref="AD7:AD15" si="1">F7+H7+J7+L7+N7+P7+R7+T7+V7+AB7</f>
        <v>7950</v>
      </c>
      <c r="AE7">
        <f t="shared" si="0"/>
        <v>0</v>
      </c>
      <c r="AG7" s="58"/>
      <c r="AH7" s="58"/>
      <c r="AI7" s="58"/>
    </row>
    <row r="8" spans="1:35" ht="15.75" x14ac:dyDescent="0.25">
      <c r="A8">
        <v>5</v>
      </c>
      <c r="B8" s="19">
        <v>202301005</v>
      </c>
      <c r="C8" s="19" t="s">
        <v>467</v>
      </c>
      <c r="D8" s="19" t="s">
        <v>270</v>
      </c>
      <c r="E8">
        <f>7950</f>
        <v>7950</v>
      </c>
      <c r="F8" s="19">
        <v>3000</v>
      </c>
      <c r="G8" s="19" t="s">
        <v>61</v>
      </c>
      <c r="H8" s="19">
        <v>1000</v>
      </c>
      <c r="I8" s="19" t="s">
        <v>61</v>
      </c>
      <c r="J8" s="19">
        <v>2000</v>
      </c>
      <c r="K8" s="19" t="s">
        <v>288</v>
      </c>
      <c r="L8" s="19">
        <v>1950</v>
      </c>
      <c r="M8" s="19" t="s">
        <v>288</v>
      </c>
      <c r="AD8">
        <f t="shared" si="1"/>
        <v>7950</v>
      </c>
      <c r="AE8">
        <f t="shared" si="0"/>
        <v>0</v>
      </c>
      <c r="AG8" s="58"/>
      <c r="AH8" s="58"/>
      <c r="AI8" s="58"/>
    </row>
    <row r="9" spans="1:35" ht="15.75" x14ac:dyDescent="0.25">
      <c r="A9">
        <v>6</v>
      </c>
      <c r="B9" s="19">
        <v>202301007</v>
      </c>
      <c r="C9" s="19" t="s">
        <v>468</v>
      </c>
      <c r="D9" s="19" t="s">
        <v>97</v>
      </c>
      <c r="E9">
        <f>7950</f>
        <v>7950</v>
      </c>
      <c r="F9" s="19"/>
      <c r="G9" s="19"/>
      <c r="H9" s="19">
        <v>4500</v>
      </c>
      <c r="I9" s="19" t="s">
        <v>458</v>
      </c>
      <c r="J9" s="19">
        <v>2000</v>
      </c>
      <c r="K9" s="19" t="s">
        <v>360</v>
      </c>
      <c r="L9" s="19">
        <v>1450</v>
      </c>
      <c r="M9" s="19" t="s">
        <v>53</v>
      </c>
      <c r="AD9">
        <f t="shared" si="1"/>
        <v>7950</v>
      </c>
      <c r="AE9">
        <f t="shared" si="0"/>
        <v>0</v>
      </c>
      <c r="AG9" s="58"/>
      <c r="AH9" s="58"/>
      <c r="AI9" s="58"/>
    </row>
    <row r="10" spans="1:35" ht="15.75" x14ac:dyDescent="0.25">
      <c r="A10">
        <v>7</v>
      </c>
      <c r="B10" s="19">
        <v>202301008</v>
      </c>
      <c r="C10" s="19" t="s">
        <v>469</v>
      </c>
      <c r="D10" s="19" t="s">
        <v>470</v>
      </c>
      <c r="E10">
        <f>7950</f>
        <v>7950</v>
      </c>
      <c r="F10" s="19"/>
      <c r="G10" s="19"/>
      <c r="H10" s="19">
        <v>6000</v>
      </c>
      <c r="I10" s="19" t="s">
        <v>122</v>
      </c>
      <c r="L10" s="19">
        <v>1950</v>
      </c>
      <c r="M10" s="19" t="s">
        <v>239</v>
      </c>
      <c r="AD10">
        <f t="shared" si="1"/>
        <v>7950</v>
      </c>
      <c r="AE10">
        <f t="shared" si="0"/>
        <v>0</v>
      </c>
      <c r="AG10" s="58"/>
      <c r="AH10" s="58"/>
      <c r="AI10" s="58"/>
    </row>
    <row r="11" spans="1:35" ht="15.75" x14ac:dyDescent="0.25">
      <c r="A11">
        <v>8</v>
      </c>
      <c r="B11" s="19">
        <v>202301010</v>
      </c>
      <c r="C11" s="19" t="s">
        <v>471</v>
      </c>
      <c r="D11" s="19" t="s">
        <v>266</v>
      </c>
      <c r="E11">
        <f>7950</f>
        <v>7950</v>
      </c>
      <c r="F11" s="19"/>
      <c r="G11" s="19"/>
      <c r="H11" s="19"/>
      <c r="I11" s="19"/>
      <c r="J11" s="19"/>
      <c r="K11" s="19"/>
      <c r="L11" s="19">
        <v>1500</v>
      </c>
      <c r="M11" s="19" t="s">
        <v>472</v>
      </c>
      <c r="N11" s="19">
        <v>2475</v>
      </c>
      <c r="O11" s="19" t="s">
        <v>473</v>
      </c>
      <c r="P11">
        <v>2000</v>
      </c>
      <c r="Q11" t="s">
        <v>474</v>
      </c>
      <c r="R11">
        <v>1975</v>
      </c>
      <c r="S11" t="s">
        <v>475</v>
      </c>
      <c r="AD11">
        <f t="shared" si="1"/>
        <v>7950</v>
      </c>
      <c r="AE11">
        <f t="shared" si="0"/>
        <v>0</v>
      </c>
      <c r="AG11" s="58"/>
      <c r="AH11" s="58"/>
      <c r="AI11" s="58"/>
    </row>
    <row r="12" spans="1:35" ht="15.75" x14ac:dyDescent="0.25">
      <c r="A12">
        <v>9</v>
      </c>
      <c r="B12" s="19">
        <v>202301012</v>
      </c>
      <c r="C12" s="19" t="s">
        <v>476</v>
      </c>
      <c r="D12" s="19" t="s">
        <v>119</v>
      </c>
      <c r="E12">
        <f>7950</f>
        <v>7950</v>
      </c>
      <c r="F12" s="19"/>
      <c r="G12" s="19"/>
      <c r="H12" s="19">
        <v>4000</v>
      </c>
      <c r="I12" s="19" t="s">
        <v>146</v>
      </c>
      <c r="J12" s="19"/>
      <c r="K12" s="19"/>
      <c r="L12">
        <v>2000</v>
      </c>
      <c r="M12" t="s">
        <v>477</v>
      </c>
      <c r="N12">
        <v>1950</v>
      </c>
      <c r="O12" t="s">
        <v>478</v>
      </c>
      <c r="AD12">
        <f t="shared" si="1"/>
        <v>7950</v>
      </c>
      <c r="AE12">
        <f t="shared" si="0"/>
        <v>0</v>
      </c>
      <c r="AG12" s="58"/>
      <c r="AH12" s="58"/>
      <c r="AI12" s="58"/>
    </row>
    <row r="13" spans="1:35" ht="15.75" x14ac:dyDescent="0.25">
      <c r="A13">
        <v>10</v>
      </c>
      <c r="B13" s="19">
        <v>202301013</v>
      </c>
      <c r="C13" s="19" t="s">
        <v>479</v>
      </c>
      <c r="D13" s="19" t="s">
        <v>480</v>
      </c>
      <c r="E13">
        <f>7950</f>
        <v>7950</v>
      </c>
      <c r="F13" s="19"/>
      <c r="G13" s="19"/>
      <c r="H13" s="19">
        <v>5000</v>
      </c>
      <c r="I13" s="19" t="s">
        <v>61</v>
      </c>
      <c r="J13" s="19">
        <v>1000</v>
      </c>
      <c r="K13" t="s">
        <v>472</v>
      </c>
      <c r="L13" s="19">
        <v>1950</v>
      </c>
      <c r="M13" s="19" t="s">
        <v>472</v>
      </c>
      <c r="AD13">
        <f t="shared" si="1"/>
        <v>7950</v>
      </c>
      <c r="AE13">
        <f t="shared" si="0"/>
        <v>0</v>
      </c>
      <c r="AG13" s="58"/>
      <c r="AH13" s="58"/>
      <c r="AI13" s="58"/>
    </row>
    <row r="14" spans="1:35" ht="15.75" x14ac:dyDescent="0.25">
      <c r="A14">
        <v>11</v>
      </c>
      <c r="B14" s="19">
        <v>202301014</v>
      </c>
      <c r="C14" s="19" t="s">
        <v>481</v>
      </c>
      <c r="D14" s="19" t="s">
        <v>482</v>
      </c>
      <c r="E14">
        <f>7950</f>
        <v>7950</v>
      </c>
      <c r="F14" s="19"/>
      <c r="G14" s="19"/>
      <c r="H14" s="19">
        <v>3500</v>
      </c>
      <c r="I14" s="19" t="s">
        <v>244</v>
      </c>
      <c r="J14" s="19"/>
      <c r="K14" s="19"/>
      <c r="L14">
        <v>2000</v>
      </c>
      <c r="M14" t="s">
        <v>477</v>
      </c>
      <c r="N14">
        <v>500</v>
      </c>
      <c r="O14" t="s">
        <v>477</v>
      </c>
      <c r="P14">
        <v>1500</v>
      </c>
      <c r="Q14" t="s">
        <v>483</v>
      </c>
      <c r="R14">
        <v>500</v>
      </c>
      <c r="S14" t="s">
        <v>484</v>
      </c>
      <c r="AD14">
        <f t="shared" si="1"/>
        <v>8000</v>
      </c>
      <c r="AE14">
        <f t="shared" si="0"/>
        <v>-50</v>
      </c>
      <c r="AG14" s="58"/>
      <c r="AH14" s="58"/>
      <c r="AI14" s="58"/>
    </row>
    <row r="15" spans="1:35" ht="15.75" x14ac:dyDescent="0.25">
      <c r="A15">
        <v>12</v>
      </c>
      <c r="B15" s="19">
        <v>202301015</v>
      </c>
      <c r="C15" s="19" t="s">
        <v>485</v>
      </c>
      <c r="D15" s="19" t="s">
        <v>486</v>
      </c>
      <c r="E15">
        <f>7950</f>
        <v>7950</v>
      </c>
      <c r="F15" s="19"/>
      <c r="G15" s="19"/>
      <c r="H15" s="19"/>
      <c r="I15" s="19"/>
      <c r="J15" s="19"/>
      <c r="L15" s="19">
        <v>3000</v>
      </c>
      <c r="M15" s="19" t="s">
        <v>472</v>
      </c>
      <c r="N15">
        <v>2000</v>
      </c>
      <c r="O15" t="s">
        <v>57</v>
      </c>
      <c r="P15">
        <v>500</v>
      </c>
      <c r="Q15" t="s">
        <v>487</v>
      </c>
      <c r="R15">
        <v>2000</v>
      </c>
      <c r="S15" t="s">
        <v>67</v>
      </c>
      <c r="T15">
        <v>500</v>
      </c>
      <c r="U15" t="s">
        <v>34</v>
      </c>
      <c r="AD15">
        <f t="shared" si="1"/>
        <v>8000</v>
      </c>
      <c r="AE15">
        <f t="shared" si="0"/>
        <v>-50</v>
      </c>
      <c r="AG15" s="58"/>
      <c r="AH15" s="58"/>
      <c r="AI15" s="58"/>
    </row>
    <row r="16" spans="1:35" ht="15.75" x14ac:dyDescent="0.25">
      <c r="A16">
        <v>13</v>
      </c>
      <c r="B16" s="19">
        <v>202301016</v>
      </c>
      <c r="C16" s="19" t="s">
        <v>488</v>
      </c>
      <c r="D16" s="19" t="s">
        <v>489</v>
      </c>
      <c r="E16">
        <f>7950</f>
        <v>7950</v>
      </c>
      <c r="F16" s="19">
        <v>450</v>
      </c>
      <c r="G16" s="19" t="s">
        <v>490</v>
      </c>
      <c r="H16" s="19">
        <v>5150</v>
      </c>
      <c r="I16" s="19" t="s">
        <v>55</v>
      </c>
      <c r="J16" s="19">
        <v>1500</v>
      </c>
      <c r="K16" s="19" t="s">
        <v>477</v>
      </c>
      <c r="N16" s="19">
        <v>500</v>
      </c>
      <c r="O16" s="19" t="s">
        <v>491</v>
      </c>
      <c r="P16" s="19">
        <v>350</v>
      </c>
      <c r="Q16" s="19" t="s">
        <v>67</v>
      </c>
      <c r="AD16">
        <f>F16+H16+J16+N16+P16+R16+L16+T16+V16+AB16+X16+Z16</f>
        <v>7950</v>
      </c>
      <c r="AE16">
        <f t="shared" si="0"/>
        <v>0</v>
      </c>
      <c r="AG16" s="58"/>
      <c r="AH16" s="58"/>
      <c r="AI16" s="58"/>
    </row>
    <row r="17" spans="1:35" ht="15.75" x14ac:dyDescent="0.25">
      <c r="A17">
        <v>14</v>
      </c>
      <c r="B17" s="19">
        <v>202301017</v>
      </c>
      <c r="C17" s="19" t="s">
        <v>394</v>
      </c>
      <c r="D17" s="19" t="s">
        <v>492</v>
      </c>
      <c r="E17">
        <f>7950</f>
        <v>7950</v>
      </c>
      <c r="F17" s="19">
        <v>1000</v>
      </c>
      <c r="G17" s="19" t="s">
        <v>23</v>
      </c>
      <c r="H17" s="19">
        <v>1400</v>
      </c>
      <c r="I17" s="19" t="s">
        <v>17</v>
      </c>
      <c r="J17" s="19">
        <v>1600</v>
      </c>
      <c r="K17" s="19" t="s">
        <v>87</v>
      </c>
      <c r="L17">
        <v>800</v>
      </c>
      <c r="M17" t="s">
        <v>257</v>
      </c>
      <c r="N17">
        <v>1400</v>
      </c>
      <c r="O17" t="s">
        <v>493</v>
      </c>
      <c r="P17">
        <v>1750</v>
      </c>
      <c r="Q17" t="s">
        <v>190</v>
      </c>
      <c r="AD17">
        <f>F17+H17+J17+L17+N17+P17+R17+T17+V17+AB17+X17</f>
        <v>7950</v>
      </c>
      <c r="AE17">
        <f t="shared" si="0"/>
        <v>0</v>
      </c>
      <c r="AG17" s="58"/>
      <c r="AH17" s="58"/>
      <c r="AI17" s="58"/>
    </row>
    <row r="18" spans="1:35" ht="15.75" x14ac:dyDescent="0.25">
      <c r="A18">
        <v>15</v>
      </c>
      <c r="B18" s="19">
        <v>202301020</v>
      </c>
      <c r="C18" s="19" t="s">
        <v>154</v>
      </c>
      <c r="D18" s="19" t="s">
        <v>261</v>
      </c>
      <c r="E18">
        <f>7950</f>
        <v>7950</v>
      </c>
      <c r="F18" s="19">
        <f>8220-5750</f>
        <v>2470</v>
      </c>
      <c r="G18" s="19" t="s">
        <v>494</v>
      </c>
      <c r="H18" s="19">
        <v>3200</v>
      </c>
      <c r="I18" s="19" t="s">
        <v>495</v>
      </c>
      <c r="J18" s="19">
        <v>280</v>
      </c>
      <c r="K18" s="19" t="s">
        <v>23</v>
      </c>
      <c r="L18">
        <v>2000</v>
      </c>
      <c r="M18" t="s">
        <v>186</v>
      </c>
      <c r="AD18">
        <f>F18+H18+J18+L18+N18+P18+R18+T18+V18+AB18</f>
        <v>7950</v>
      </c>
      <c r="AE18">
        <f t="shared" si="0"/>
        <v>0</v>
      </c>
      <c r="AG18" s="58"/>
      <c r="AH18" s="58"/>
      <c r="AI18" s="58"/>
    </row>
    <row r="19" spans="1:35" ht="15.75" x14ac:dyDescent="0.25">
      <c r="A19">
        <v>16</v>
      </c>
      <c r="B19" s="19">
        <v>202301021</v>
      </c>
      <c r="C19" s="19" t="s">
        <v>496</v>
      </c>
      <c r="D19" s="19" t="s">
        <v>497</v>
      </c>
      <c r="E19">
        <f>7950</f>
        <v>7950</v>
      </c>
      <c r="F19" s="19"/>
      <c r="G19" s="19"/>
      <c r="H19" s="19"/>
      <c r="I19" s="19"/>
      <c r="J19" s="19">
        <v>1000</v>
      </c>
      <c r="K19" s="19" t="s">
        <v>238</v>
      </c>
      <c r="L19">
        <v>3000</v>
      </c>
      <c r="M19" t="s">
        <v>306</v>
      </c>
      <c r="N19">
        <v>1500</v>
      </c>
      <c r="O19" t="s">
        <v>472</v>
      </c>
      <c r="P19">
        <v>2450</v>
      </c>
      <c r="Q19" t="s">
        <v>25</v>
      </c>
      <c r="AD19">
        <f>F19+H19+J19+L19+N19+P19+R19+T19+V19+AB19</f>
        <v>7950</v>
      </c>
      <c r="AE19">
        <f t="shared" si="0"/>
        <v>0</v>
      </c>
      <c r="AG19" s="58"/>
      <c r="AH19" s="58"/>
      <c r="AI19" s="58"/>
    </row>
    <row r="20" spans="1:35" ht="15.75" x14ac:dyDescent="0.25">
      <c r="A20">
        <v>17</v>
      </c>
      <c r="B20" s="19">
        <v>202301024</v>
      </c>
      <c r="C20" s="19" t="s">
        <v>498</v>
      </c>
      <c r="D20" s="19" t="s">
        <v>187</v>
      </c>
      <c r="E20">
        <f>7950</f>
        <v>7950</v>
      </c>
      <c r="F20" s="19">
        <v>5000</v>
      </c>
      <c r="G20" s="19" t="s">
        <v>42</v>
      </c>
      <c r="H20" s="19"/>
      <c r="I20" s="19"/>
      <c r="J20" s="19">
        <v>2950</v>
      </c>
      <c r="K20" s="19" t="s">
        <v>499</v>
      </c>
      <c r="AD20">
        <f>F20+H20+J20+L20+N20</f>
        <v>7950</v>
      </c>
      <c r="AE20">
        <f t="shared" si="0"/>
        <v>0</v>
      </c>
      <c r="AG20" s="58"/>
      <c r="AH20" s="58"/>
      <c r="AI20" s="58"/>
    </row>
    <row r="21" spans="1:35" ht="15.75" x14ac:dyDescent="0.25">
      <c r="A21">
        <v>18</v>
      </c>
      <c r="B21" s="19">
        <v>202301025</v>
      </c>
      <c r="C21" s="19" t="s">
        <v>132</v>
      </c>
      <c r="D21" s="19" t="s">
        <v>157</v>
      </c>
      <c r="E21">
        <f>7950</f>
        <v>7950</v>
      </c>
      <c r="F21" s="19">
        <v>2000</v>
      </c>
      <c r="G21" s="19" t="s">
        <v>28</v>
      </c>
      <c r="H21" s="19">
        <v>5000</v>
      </c>
      <c r="I21" s="19" t="s">
        <v>258</v>
      </c>
      <c r="J21" s="19">
        <v>900</v>
      </c>
      <c r="K21" s="19" t="s">
        <v>53</v>
      </c>
      <c r="L21">
        <v>50</v>
      </c>
      <c r="M21" t="s">
        <v>53</v>
      </c>
      <c r="AD21">
        <f t="shared" ref="AD21:AD26" si="2">F21+H21+J21+L21+N21+P21+R21+T21+V21+AB21</f>
        <v>7950</v>
      </c>
      <c r="AE21">
        <f t="shared" si="0"/>
        <v>0</v>
      </c>
      <c r="AG21" s="58"/>
      <c r="AH21" s="58"/>
      <c r="AI21" s="58"/>
    </row>
    <row r="22" spans="1:35" ht="15.75" x14ac:dyDescent="0.25">
      <c r="A22">
        <v>19</v>
      </c>
      <c r="B22" s="19">
        <v>202301026</v>
      </c>
      <c r="C22" s="19" t="s">
        <v>500</v>
      </c>
      <c r="D22" s="19" t="s">
        <v>375</v>
      </c>
      <c r="E22">
        <f>7950</f>
        <v>7950</v>
      </c>
      <c r="F22" s="19"/>
      <c r="G22" s="19"/>
      <c r="H22" s="19">
        <v>5500</v>
      </c>
      <c r="I22" s="19" t="s">
        <v>501</v>
      </c>
      <c r="J22" s="19">
        <v>2450</v>
      </c>
      <c r="K22" s="19" t="s">
        <v>502</v>
      </c>
      <c r="L22" s="19"/>
      <c r="M22" s="19"/>
      <c r="AD22">
        <f t="shared" si="2"/>
        <v>7950</v>
      </c>
      <c r="AE22">
        <f t="shared" si="0"/>
        <v>0</v>
      </c>
      <c r="AG22" s="58"/>
      <c r="AH22" s="58"/>
      <c r="AI22" s="58"/>
    </row>
    <row r="23" spans="1:35" ht="15.75" x14ac:dyDescent="0.25">
      <c r="A23">
        <v>20</v>
      </c>
      <c r="B23" s="19">
        <v>202301027</v>
      </c>
      <c r="C23" s="19" t="s">
        <v>503</v>
      </c>
      <c r="D23" s="19" t="s">
        <v>504</v>
      </c>
      <c r="E23">
        <f>7950</f>
        <v>7950</v>
      </c>
      <c r="F23" s="19"/>
      <c r="G23" s="19"/>
      <c r="H23" s="19">
        <v>2000</v>
      </c>
      <c r="I23" s="19" t="s">
        <v>50</v>
      </c>
      <c r="J23" s="19">
        <v>1000</v>
      </c>
      <c r="K23" s="19" t="s">
        <v>271</v>
      </c>
      <c r="L23" s="19"/>
      <c r="M23" s="19"/>
      <c r="AD23">
        <f t="shared" si="2"/>
        <v>3000</v>
      </c>
      <c r="AE23">
        <f t="shared" si="0"/>
        <v>4950</v>
      </c>
      <c r="AG23" s="58"/>
      <c r="AH23" s="58"/>
      <c r="AI23" s="58"/>
    </row>
    <row r="24" spans="1:35" ht="15.75" x14ac:dyDescent="0.25">
      <c r="A24">
        <v>21</v>
      </c>
      <c r="B24" s="19">
        <v>202301028</v>
      </c>
      <c r="C24" s="19" t="s">
        <v>505</v>
      </c>
      <c r="D24" s="19" t="s">
        <v>506</v>
      </c>
      <c r="E24">
        <f>7950</f>
        <v>7950</v>
      </c>
      <c r="F24" s="19"/>
      <c r="G24" s="19"/>
      <c r="H24" s="19"/>
      <c r="I24" s="19"/>
      <c r="J24" s="19">
        <v>3500</v>
      </c>
      <c r="K24" s="19" t="s">
        <v>244</v>
      </c>
      <c r="L24">
        <v>1900</v>
      </c>
      <c r="M24" t="s">
        <v>484</v>
      </c>
      <c r="AD24">
        <f t="shared" si="2"/>
        <v>5400</v>
      </c>
      <c r="AE24">
        <f t="shared" si="0"/>
        <v>2550</v>
      </c>
      <c r="AG24" s="58"/>
      <c r="AH24" s="58"/>
      <c r="AI24" s="58"/>
    </row>
    <row r="25" spans="1:35" ht="15.75" x14ac:dyDescent="0.25">
      <c r="A25">
        <v>22</v>
      </c>
      <c r="B25" s="19">
        <v>202301032</v>
      </c>
      <c r="C25" s="19" t="s">
        <v>507</v>
      </c>
      <c r="D25" s="19" t="s">
        <v>187</v>
      </c>
      <c r="E25">
        <f>7950</f>
        <v>7950</v>
      </c>
      <c r="F25" s="19"/>
      <c r="G25" s="19"/>
      <c r="H25" s="19">
        <v>3900</v>
      </c>
      <c r="I25" s="19" t="s">
        <v>107</v>
      </c>
      <c r="J25" s="19">
        <v>800</v>
      </c>
      <c r="K25" s="19" t="s">
        <v>285</v>
      </c>
      <c r="L25" s="19">
        <v>1000</v>
      </c>
      <c r="M25" s="19" t="s">
        <v>260</v>
      </c>
      <c r="N25">
        <v>300</v>
      </c>
      <c r="O25" t="s">
        <v>508</v>
      </c>
      <c r="P25">
        <v>1950</v>
      </c>
      <c r="Q25" t="s">
        <v>128</v>
      </c>
      <c r="AD25">
        <f t="shared" si="2"/>
        <v>7950</v>
      </c>
      <c r="AE25">
        <f t="shared" si="0"/>
        <v>0</v>
      </c>
      <c r="AG25" s="58"/>
      <c r="AH25" s="58"/>
      <c r="AI25" s="58"/>
    </row>
    <row r="26" spans="1:35" ht="15.75" x14ac:dyDescent="0.25">
      <c r="A26">
        <v>23</v>
      </c>
      <c r="B26" s="19">
        <v>202301034</v>
      </c>
      <c r="C26" s="19" t="s">
        <v>509</v>
      </c>
      <c r="D26" s="19" t="s">
        <v>246</v>
      </c>
      <c r="E26">
        <f>7950</f>
        <v>7950</v>
      </c>
      <c r="F26" s="19"/>
      <c r="G26" s="19"/>
      <c r="H26" s="19">
        <v>4000</v>
      </c>
      <c r="I26" s="19" t="s">
        <v>122</v>
      </c>
      <c r="J26" s="19"/>
      <c r="K26" s="19"/>
      <c r="L26">
        <v>2000</v>
      </c>
      <c r="M26" t="s">
        <v>28</v>
      </c>
      <c r="N26">
        <v>1950</v>
      </c>
      <c r="O26" t="s">
        <v>96</v>
      </c>
      <c r="AD26">
        <f t="shared" si="2"/>
        <v>7950</v>
      </c>
      <c r="AE26">
        <f t="shared" si="0"/>
        <v>0</v>
      </c>
      <c r="AG26" s="58"/>
      <c r="AH26" s="58"/>
      <c r="AI26" s="58"/>
    </row>
    <row r="27" spans="1:35" ht="15.75" x14ac:dyDescent="0.25">
      <c r="A27">
        <v>24</v>
      </c>
      <c r="B27" s="19">
        <v>202301035</v>
      </c>
      <c r="C27" s="19" t="s">
        <v>510</v>
      </c>
      <c r="D27" s="19" t="s">
        <v>511</v>
      </c>
      <c r="E27">
        <f>7950</f>
        <v>7950</v>
      </c>
      <c r="F27" s="19"/>
      <c r="G27" s="19"/>
      <c r="H27" s="19">
        <v>4000</v>
      </c>
      <c r="I27" s="19" t="s">
        <v>150</v>
      </c>
      <c r="J27" s="19"/>
      <c r="K27" s="19"/>
      <c r="L27" s="19">
        <v>3000</v>
      </c>
      <c r="M27" s="19" t="s">
        <v>28</v>
      </c>
      <c r="N27" s="19">
        <v>950</v>
      </c>
      <c r="O27" s="19" t="s">
        <v>512</v>
      </c>
      <c r="P27" s="19"/>
      <c r="AD27">
        <f>F27+H27+J27+L27+N27+P27+R27+T27+V27+AB27</f>
        <v>7950</v>
      </c>
      <c r="AE27">
        <f t="shared" si="0"/>
        <v>0</v>
      </c>
      <c r="AG27" s="58"/>
      <c r="AH27" s="58"/>
      <c r="AI27" s="58"/>
    </row>
    <row r="28" spans="1:35" ht="15.75" x14ac:dyDescent="0.25">
      <c r="A28">
        <v>25</v>
      </c>
      <c r="B28" s="19">
        <v>202301036</v>
      </c>
      <c r="C28" s="19" t="s">
        <v>94</v>
      </c>
      <c r="D28" s="19" t="s">
        <v>249</v>
      </c>
      <c r="E28">
        <f>7950</f>
        <v>7950</v>
      </c>
      <c r="F28" s="19">
        <v>4000</v>
      </c>
      <c r="G28" s="19" t="s">
        <v>513</v>
      </c>
      <c r="H28" s="19"/>
      <c r="I28" s="19"/>
      <c r="J28" s="19"/>
      <c r="K28" s="19"/>
      <c r="L28" s="19">
        <v>3950</v>
      </c>
      <c r="M28" s="19" t="s">
        <v>477</v>
      </c>
      <c r="AD28">
        <f>F28+H28+J28+L28+P28+R28+T28+V28+AB28+N28</f>
        <v>7950</v>
      </c>
      <c r="AE28">
        <f t="shared" si="0"/>
        <v>0</v>
      </c>
      <c r="AG28" s="58"/>
      <c r="AH28" s="58"/>
      <c r="AI28" s="58"/>
    </row>
    <row r="29" spans="1:35" ht="15.75" x14ac:dyDescent="0.25">
      <c r="A29">
        <v>26</v>
      </c>
      <c r="B29" s="19">
        <v>202301037</v>
      </c>
      <c r="C29" s="19" t="s">
        <v>514</v>
      </c>
      <c r="D29" s="19" t="s">
        <v>515</v>
      </c>
      <c r="E29">
        <f>7950</f>
        <v>7950</v>
      </c>
      <c r="F29" s="19"/>
      <c r="G29" s="19"/>
      <c r="H29" s="19">
        <v>5000</v>
      </c>
      <c r="I29" s="19" t="s">
        <v>37</v>
      </c>
      <c r="J29" s="19"/>
      <c r="K29" s="19"/>
      <c r="L29" s="19">
        <v>2950</v>
      </c>
      <c r="M29" s="19" t="s">
        <v>477</v>
      </c>
      <c r="AD29">
        <f>F29+H29+J29+L29+N29+P29+R29+T29+V29+AB29</f>
        <v>7950</v>
      </c>
      <c r="AE29">
        <f t="shared" si="0"/>
        <v>0</v>
      </c>
      <c r="AG29" s="58"/>
      <c r="AH29" s="58"/>
      <c r="AI29" s="58"/>
    </row>
    <row r="30" spans="1:35" ht="15.75" x14ac:dyDescent="0.25">
      <c r="A30">
        <v>27</v>
      </c>
      <c r="B30" s="19">
        <v>202301043</v>
      </c>
      <c r="C30" s="19" t="s">
        <v>516</v>
      </c>
      <c r="D30" s="19" t="s">
        <v>415</v>
      </c>
      <c r="E30">
        <f>7950</f>
        <v>7950</v>
      </c>
      <c r="F30" s="19">
        <v>4400</v>
      </c>
      <c r="G30" s="19" t="s">
        <v>517</v>
      </c>
      <c r="H30" s="19"/>
      <c r="I30" s="19"/>
      <c r="J30" s="19">
        <v>1000</v>
      </c>
      <c r="K30" s="19" t="s">
        <v>518</v>
      </c>
      <c r="L30" s="19">
        <v>300</v>
      </c>
      <c r="M30" s="19" t="s">
        <v>477</v>
      </c>
      <c r="N30" s="19">
        <v>300</v>
      </c>
      <c r="O30" s="19" t="s">
        <v>477</v>
      </c>
      <c r="P30" s="19">
        <v>1950</v>
      </c>
      <c r="Q30" s="19" t="s">
        <v>80</v>
      </c>
      <c r="AD30">
        <f>F30+H30+J30+L30+N30+P30+T30+V30+AB30+R30+X30</f>
        <v>7950</v>
      </c>
      <c r="AE30">
        <f t="shared" si="0"/>
        <v>0</v>
      </c>
      <c r="AG30" s="58"/>
      <c r="AH30" s="58"/>
      <c r="AI30" s="58"/>
    </row>
    <row r="31" spans="1:35" ht="15.75" x14ac:dyDescent="0.25">
      <c r="A31">
        <v>28</v>
      </c>
      <c r="B31" s="19">
        <v>202301045</v>
      </c>
      <c r="C31" s="19" t="s">
        <v>251</v>
      </c>
      <c r="D31" s="19" t="s">
        <v>519</v>
      </c>
      <c r="E31">
        <f>7950</f>
        <v>7950</v>
      </c>
      <c r="F31" s="19"/>
      <c r="G31" s="19"/>
      <c r="H31" s="19">
        <v>4000</v>
      </c>
      <c r="I31" s="19" t="s">
        <v>23</v>
      </c>
      <c r="J31" s="19"/>
      <c r="K31" s="19"/>
      <c r="L31" s="19">
        <v>2000</v>
      </c>
      <c r="M31" s="19" t="s">
        <v>463</v>
      </c>
      <c r="N31">
        <v>1950</v>
      </c>
      <c r="O31" t="s">
        <v>58</v>
      </c>
      <c r="AD31">
        <f>F31+H31+J31+L31+N31+P31+R31+T31+V31+AB31</f>
        <v>7950</v>
      </c>
      <c r="AE31">
        <f t="shared" si="0"/>
        <v>0</v>
      </c>
      <c r="AG31" s="58"/>
      <c r="AH31" s="58"/>
      <c r="AI31" s="58"/>
    </row>
    <row r="32" spans="1:35" ht="15.75" x14ac:dyDescent="0.25">
      <c r="A32">
        <v>29</v>
      </c>
      <c r="B32" s="19">
        <v>202301046</v>
      </c>
      <c r="C32" s="19" t="s">
        <v>520</v>
      </c>
      <c r="D32" s="19" t="s">
        <v>410</v>
      </c>
      <c r="E32">
        <f>7950</f>
        <v>7950</v>
      </c>
      <c r="F32" s="19"/>
      <c r="G32" s="19"/>
      <c r="H32" s="19">
        <v>4000</v>
      </c>
      <c r="I32" s="19" t="s">
        <v>122</v>
      </c>
      <c r="J32" s="19"/>
      <c r="K32" s="19"/>
      <c r="L32" s="19">
        <v>2000</v>
      </c>
      <c r="M32" s="19" t="s">
        <v>224</v>
      </c>
      <c r="N32" s="19">
        <v>1950</v>
      </c>
      <c r="O32" s="19" t="s">
        <v>67</v>
      </c>
      <c r="AD32">
        <f t="shared" ref="AD32:AD36" si="3">F32+H32+J32+L32+N32+P32+R32+T32+V32+AB32</f>
        <v>7950</v>
      </c>
      <c r="AE32">
        <f t="shared" si="0"/>
        <v>0</v>
      </c>
      <c r="AG32" s="58"/>
      <c r="AH32" s="58"/>
      <c r="AI32" s="58"/>
    </row>
    <row r="33" spans="1:61" ht="15.75" x14ac:dyDescent="0.25">
      <c r="A33">
        <v>30</v>
      </c>
      <c r="B33" s="19">
        <v>202301048</v>
      </c>
      <c r="C33" s="19" t="s">
        <v>27</v>
      </c>
      <c r="D33" s="19" t="s">
        <v>521</v>
      </c>
      <c r="E33">
        <f>7950</f>
        <v>7950</v>
      </c>
      <c r="F33" s="19"/>
      <c r="G33" s="19"/>
      <c r="H33" s="19"/>
      <c r="I33" s="19"/>
      <c r="J33" s="19">
        <v>5000</v>
      </c>
      <c r="K33" s="19" t="s">
        <v>522</v>
      </c>
      <c r="L33" s="19">
        <v>1000</v>
      </c>
      <c r="M33" s="19" t="s">
        <v>44</v>
      </c>
      <c r="N33">
        <v>1950</v>
      </c>
      <c r="O33" t="s">
        <v>116</v>
      </c>
      <c r="AD33">
        <f t="shared" si="3"/>
        <v>7950</v>
      </c>
      <c r="AE33">
        <f t="shared" si="0"/>
        <v>0</v>
      </c>
      <c r="AG33" s="58"/>
      <c r="AH33" s="58"/>
      <c r="AI33" s="58"/>
    </row>
    <row r="34" spans="1:61" ht="15.75" x14ac:dyDescent="0.25">
      <c r="A34">
        <v>31</v>
      </c>
      <c r="B34" s="19">
        <v>202301054</v>
      </c>
      <c r="C34" s="19" t="s">
        <v>119</v>
      </c>
      <c r="D34" s="19" t="s">
        <v>523</v>
      </c>
      <c r="E34">
        <f>7950</f>
        <v>7950</v>
      </c>
      <c r="F34" s="19"/>
      <c r="G34" s="19"/>
      <c r="H34" s="19">
        <v>5500</v>
      </c>
      <c r="I34" s="19" t="s">
        <v>20</v>
      </c>
      <c r="J34" s="19">
        <v>2200</v>
      </c>
      <c r="K34" s="19" t="s">
        <v>224</v>
      </c>
      <c r="L34" s="19">
        <v>250</v>
      </c>
      <c r="M34" s="19" t="s">
        <v>34</v>
      </c>
      <c r="AD34">
        <f t="shared" si="3"/>
        <v>7950</v>
      </c>
      <c r="AE34">
        <f t="shared" si="0"/>
        <v>0</v>
      </c>
      <c r="AG34" s="58"/>
      <c r="AH34" s="58"/>
      <c r="AI34" s="58"/>
    </row>
    <row r="35" spans="1:61" ht="15.75" x14ac:dyDescent="0.25">
      <c r="A35">
        <v>32</v>
      </c>
      <c r="B35" s="19">
        <v>202301091</v>
      </c>
      <c r="C35" s="19" t="s">
        <v>204</v>
      </c>
      <c r="D35" s="19" t="s">
        <v>524</v>
      </c>
      <c r="E35">
        <f>7950</f>
        <v>7950</v>
      </c>
      <c r="F35" s="19"/>
      <c r="G35" s="19"/>
      <c r="H35" s="19">
        <v>2000</v>
      </c>
      <c r="I35" s="19" t="s">
        <v>460</v>
      </c>
      <c r="J35" s="19">
        <v>1500</v>
      </c>
      <c r="K35" t="s">
        <v>291</v>
      </c>
      <c r="L35" s="19">
        <v>1900</v>
      </c>
      <c r="M35" s="19" t="s">
        <v>288</v>
      </c>
      <c r="N35">
        <v>2550</v>
      </c>
      <c r="O35" t="s">
        <v>128</v>
      </c>
      <c r="AD35">
        <f>F35+H35+J35+L35+N35+P35+R35+T35+V35+AB35</f>
        <v>7950</v>
      </c>
      <c r="AE35">
        <f>E35-AD35</f>
        <v>0</v>
      </c>
      <c r="AG35" s="58"/>
      <c r="AH35" s="58"/>
      <c r="AI35" s="58"/>
    </row>
    <row r="36" spans="1:61" ht="15.75" x14ac:dyDescent="0.25">
      <c r="A36">
        <v>33</v>
      </c>
      <c r="B36" s="19">
        <v>202301058</v>
      </c>
      <c r="C36" s="19" t="s">
        <v>154</v>
      </c>
      <c r="D36" s="19" t="s">
        <v>525</v>
      </c>
      <c r="E36">
        <f>7950</f>
        <v>7950</v>
      </c>
      <c r="F36" s="19"/>
      <c r="G36" s="19"/>
      <c r="H36" s="19">
        <v>4000</v>
      </c>
      <c r="I36" s="19" t="s">
        <v>61</v>
      </c>
      <c r="L36" s="19">
        <v>2000</v>
      </c>
      <c r="M36" s="19" t="s">
        <v>477</v>
      </c>
      <c r="N36">
        <v>1000</v>
      </c>
      <c r="O36" t="s">
        <v>95</v>
      </c>
      <c r="P36">
        <v>200</v>
      </c>
      <c r="Q36" t="s">
        <v>95</v>
      </c>
      <c r="R36">
        <v>740</v>
      </c>
      <c r="S36" t="s">
        <v>208</v>
      </c>
      <c r="T36">
        <v>10</v>
      </c>
      <c r="U36" t="s">
        <v>139</v>
      </c>
      <c r="AD36">
        <f t="shared" si="3"/>
        <v>7950</v>
      </c>
      <c r="AE36">
        <f t="shared" si="0"/>
        <v>0</v>
      </c>
      <c r="AG36" s="58"/>
      <c r="AH36" s="58"/>
      <c r="AI36" s="58"/>
    </row>
    <row r="37" spans="1:61" ht="15.75" x14ac:dyDescent="0.25">
      <c r="A37">
        <v>34</v>
      </c>
      <c r="B37" s="19">
        <v>202301059</v>
      </c>
      <c r="C37" s="19" t="s">
        <v>526</v>
      </c>
      <c r="D37" s="19" t="s">
        <v>527</v>
      </c>
      <c r="E37">
        <f>7950</f>
        <v>7950</v>
      </c>
      <c r="F37" s="19"/>
      <c r="G37" s="19"/>
      <c r="H37" s="19">
        <v>2500</v>
      </c>
      <c r="I37" s="19" t="s">
        <v>528</v>
      </c>
      <c r="J37" s="19">
        <v>4000</v>
      </c>
      <c r="K37" t="s">
        <v>150</v>
      </c>
      <c r="L37" s="19">
        <v>1450</v>
      </c>
      <c r="M37" s="19" t="s">
        <v>67</v>
      </c>
      <c r="AD37">
        <f>F37+H37+J37+L37+P37+N37+R37+T37+V37+AB37</f>
        <v>7950</v>
      </c>
      <c r="AE37">
        <f t="shared" si="0"/>
        <v>0</v>
      </c>
      <c r="AG37" s="58"/>
      <c r="AH37" s="58"/>
      <c r="AI37" s="58"/>
    </row>
    <row r="38" spans="1:61" ht="15.75" x14ac:dyDescent="0.25">
      <c r="A38">
        <v>35</v>
      </c>
      <c r="B38" s="19">
        <v>202301062</v>
      </c>
      <c r="C38" s="19" t="s">
        <v>529</v>
      </c>
      <c r="D38" s="19" t="s">
        <v>408</v>
      </c>
      <c r="E38">
        <f>7950</f>
        <v>7950</v>
      </c>
      <c r="F38" s="19"/>
      <c r="G38" s="19"/>
      <c r="H38" s="19">
        <v>1000</v>
      </c>
      <c r="I38" s="19" t="s">
        <v>51</v>
      </c>
      <c r="J38" s="19">
        <v>2000</v>
      </c>
      <c r="K38" s="19" t="s">
        <v>443</v>
      </c>
      <c r="L38" s="19"/>
      <c r="M38" s="19"/>
      <c r="N38" s="19"/>
      <c r="O38" s="19"/>
      <c r="AD38">
        <f>F38+H38+J38+L38+N38+P38+R38+T38+V38+AB38</f>
        <v>3000</v>
      </c>
      <c r="AE38">
        <f t="shared" si="0"/>
        <v>4950</v>
      </c>
      <c r="AG38" s="58"/>
      <c r="AH38" s="58"/>
      <c r="AI38" s="58"/>
    </row>
    <row r="39" spans="1:61" ht="15.75" x14ac:dyDescent="0.25">
      <c r="A39">
        <v>36</v>
      </c>
      <c r="B39" s="19">
        <v>202301063</v>
      </c>
      <c r="C39" s="19" t="s">
        <v>530</v>
      </c>
      <c r="D39" s="19" t="s">
        <v>137</v>
      </c>
      <c r="E39">
        <f>7950</f>
        <v>7950</v>
      </c>
      <c r="F39" s="19">
        <v>5500</v>
      </c>
      <c r="G39" s="19" t="s">
        <v>501</v>
      </c>
      <c r="H39">
        <v>340</v>
      </c>
      <c r="I39" s="19"/>
      <c r="J39" s="19">
        <v>2200</v>
      </c>
      <c r="K39" s="19" t="s">
        <v>502</v>
      </c>
      <c r="AD39">
        <f>F39+J39+L39+H39+P39+R39+T39+V39+AB39</f>
        <v>8040</v>
      </c>
      <c r="AE39">
        <f t="shared" si="0"/>
        <v>-90</v>
      </c>
      <c r="AG39" s="58"/>
      <c r="AH39" s="58"/>
      <c r="AI39" s="58"/>
    </row>
    <row r="40" spans="1:61" s="59" customFormat="1" ht="15.75" x14ac:dyDescent="0.25">
      <c r="A40">
        <v>37</v>
      </c>
      <c r="B40" s="19">
        <v>202301065</v>
      </c>
      <c r="C40" s="19" t="s">
        <v>204</v>
      </c>
      <c r="D40" s="19" t="s">
        <v>228</v>
      </c>
      <c r="E40">
        <f>7950</f>
        <v>7950</v>
      </c>
      <c r="F40" s="19"/>
      <c r="G40" s="19"/>
      <c r="H40" s="19"/>
      <c r="I40" s="19"/>
      <c r="J40" s="19"/>
      <c r="K40" s="19"/>
      <c r="L40">
        <v>7000</v>
      </c>
      <c r="M40" t="s">
        <v>477</v>
      </c>
      <c r="N40"/>
      <c r="O40"/>
      <c r="P40"/>
      <c r="Q40"/>
      <c r="R40"/>
      <c r="S40"/>
      <c r="T40"/>
      <c r="U40"/>
      <c r="V40"/>
      <c r="W40"/>
      <c r="X40"/>
      <c r="Y40"/>
      <c r="Z40"/>
      <c r="AA40"/>
      <c r="AB40"/>
      <c r="AC40"/>
      <c r="AD40">
        <f>F40+H40+J40+L40+N40+P40</f>
        <v>7000</v>
      </c>
      <c r="AE40">
        <f t="shared" si="0"/>
        <v>950</v>
      </c>
      <c r="AF40"/>
      <c r="AG40" s="58"/>
      <c r="AH40" s="58"/>
      <c r="AI40" s="58"/>
      <c r="AJ40"/>
      <c r="AK40"/>
      <c r="AL40"/>
      <c r="AM40"/>
      <c r="AN40"/>
      <c r="AO40"/>
      <c r="AP40"/>
      <c r="AQ40"/>
      <c r="AR40"/>
      <c r="AS40"/>
      <c r="AT40"/>
      <c r="AU40"/>
      <c r="AV40"/>
      <c r="AW40"/>
      <c r="AX40"/>
      <c r="AY40"/>
      <c r="AZ40"/>
      <c r="BA40"/>
      <c r="BB40"/>
      <c r="BC40"/>
      <c r="BD40"/>
      <c r="BE40"/>
      <c r="BF40"/>
      <c r="BG40"/>
      <c r="BH40"/>
      <c r="BI40"/>
    </row>
    <row r="41" spans="1:61" s="59" customFormat="1" ht="15.75" x14ac:dyDescent="0.25">
      <c r="A41">
        <v>38</v>
      </c>
      <c r="B41" s="19">
        <v>202301067</v>
      </c>
      <c r="C41" s="19" t="s">
        <v>212</v>
      </c>
      <c r="D41" s="19" t="s">
        <v>531</v>
      </c>
      <c r="E41">
        <f>7950</f>
        <v>7950</v>
      </c>
      <c r="F41" s="19"/>
      <c r="G41" s="19"/>
      <c r="H41" s="19"/>
      <c r="I41" s="19"/>
      <c r="J41"/>
      <c r="K41"/>
      <c r="L41">
        <v>4000</v>
      </c>
      <c r="M41" t="s">
        <v>472</v>
      </c>
      <c r="N41">
        <v>3950</v>
      </c>
      <c r="O41" t="s">
        <v>379</v>
      </c>
      <c r="P41"/>
      <c r="Q41"/>
      <c r="R41"/>
      <c r="S41"/>
      <c r="T41"/>
      <c r="U41"/>
      <c r="V41"/>
      <c r="W41"/>
      <c r="X41"/>
      <c r="Y41"/>
      <c r="Z41"/>
      <c r="AA41"/>
      <c r="AB41"/>
      <c r="AC41"/>
      <c r="AD41">
        <f>F41+H41+J41+L41+N41+P41+R41+T41+V41+AB41</f>
        <v>7950</v>
      </c>
      <c r="AE41">
        <f>E41-AD41</f>
        <v>0</v>
      </c>
      <c r="AF41"/>
      <c r="AG41" s="58"/>
      <c r="AH41" s="58"/>
      <c r="AI41" s="58"/>
      <c r="AJ41"/>
      <c r="AK41"/>
      <c r="AL41"/>
      <c r="AM41"/>
      <c r="AN41"/>
      <c r="AO41"/>
      <c r="AP41"/>
      <c r="AQ41"/>
      <c r="AR41"/>
      <c r="AS41"/>
      <c r="AT41"/>
      <c r="AU41"/>
      <c r="AV41"/>
      <c r="AW41"/>
      <c r="AX41"/>
      <c r="AY41"/>
      <c r="AZ41"/>
      <c r="BA41"/>
      <c r="BB41"/>
      <c r="BC41"/>
      <c r="BD41"/>
      <c r="BE41"/>
      <c r="BF41"/>
      <c r="BG41"/>
      <c r="BH41"/>
      <c r="BI41"/>
    </row>
    <row r="42" spans="1:61" ht="15.75" x14ac:dyDescent="0.25">
      <c r="A42">
        <v>39</v>
      </c>
      <c r="B42" s="19">
        <v>202301071</v>
      </c>
      <c r="C42" s="19" t="s">
        <v>532</v>
      </c>
      <c r="D42" s="19" t="s">
        <v>533</v>
      </c>
      <c r="E42">
        <f>7950</f>
        <v>7950</v>
      </c>
      <c r="F42" s="19"/>
      <c r="G42" s="19"/>
      <c r="H42" s="19">
        <v>1000</v>
      </c>
      <c r="I42" s="19" t="s">
        <v>99</v>
      </c>
      <c r="J42" s="19">
        <v>3000</v>
      </c>
      <c r="K42" s="19" t="s">
        <v>146</v>
      </c>
      <c r="N42">
        <v>2000</v>
      </c>
      <c r="O42" t="s">
        <v>477</v>
      </c>
      <c r="P42">
        <v>1950</v>
      </c>
      <c r="Q42" t="s">
        <v>128</v>
      </c>
      <c r="AD42">
        <f t="shared" ref="AD42:AD52" si="4">F42+H42+J42+L42+N42+P42+R42+T42+V42+AB42</f>
        <v>7950</v>
      </c>
      <c r="AE42">
        <f t="shared" ref="AE42:AE63" si="5">E42-AD42</f>
        <v>0</v>
      </c>
      <c r="AG42" s="58"/>
      <c r="AH42" s="58"/>
      <c r="AI42" s="58"/>
    </row>
    <row r="43" spans="1:61" ht="15.75" x14ac:dyDescent="0.25">
      <c r="A43">
        <v>40</v>
      </c>
      <c r="B43" s="19">
        <v>202301072</v>
      </c>
      <c r="C43" s="19" t="s">
        <v>308</v>
      </c>
      <c r="D43" s="19" t="s">
        <v>442</v>
      </c>
      <c r="E43">
        <f>7950</f>
        <v>7950</v>
      </c>
      <c r="F43" s="19"/>
      <c r="G43" s="19"/>
      <c r="H43" s="19">
        <v>1000</v>
      </c>
      <c r="I43" s="19" t="s">
        <v>71</v>
      </c>
      <c r="J43">
        <v>2000</v>
      </c>
      <c r="K43" s="19" t="s">
        <v>534</v>
      </c>
      <c r="L43">
        <v>2990</v>
      </c>
      <c r="M43" t="s">
        <v>477</v>
      </c>
      <c r="N43">
        <v>10</v>
      </c>
      <c r="O43" t="s">
        <v>477</v>
      </c>
      <c r="P43">
        <v>1950</v>
      </c>
      <c r="Q43" t="s">
        <v>535</v>
      </c>
      <c r="AD43">
        <f t="shared" si="4"/>
        <v>7950</v>
      </c>
      <c r="AE43">
        <f t="shared" si="5"/>
        <v>0</v>
      </c>
      <c r="AG43" s="58"/>
      <c r="AH43" s="58"/>
      <c r="AI43" s="58"/>
    </row>
    <row r="44" spans="1:61" ht="15.75" x14ac:dyDescent="0.25">
      <c r="A44">
        <v>41</v>
      </c>
      <c r="B44" s="19">
        <v>202301073</v>
      </c>
      <c r="C44" s="19" t="s">
        <v>536</v>
      </c>
      <c r="D44" s="19" t="s">
        <v>537</v>
      </c>
      <c r="E44">
        <f>7950</f>
        <v>7950</v>
      </c>
      <c r="F44" s="19"/>
      <c r="G44" s="19"/>
      <c r="H44" s="19">
        <v>4000</v>
      </c>
      <c r="I44" s="19" t="s">
        <v>61</v>
      </c>
      <c r="N44">
        <v>2000</v>
      </c>
      <c r="O44" t="s">
        <v>189</v>
      </c>
      <c r="P44">
        <v>1950</v>
      </c>
      <c r="Q44" t="s">
        <v>25</v>
      </c>
      <c r="AD44">
        <f t="shared" si="4"/>
        <v>7950</v>
      </c>
      <c r="AE44">
        <f t="shared" si="5"/>
        <v>0</v>
      </c>
      <c r="AG44" s="58"/>
      <c r="AH44" s="58"/>
      <c r="AI44" s="58"/>
    </row>
    <row r="45" spans="1:61" ht="15.75" x14ac:dyDescent="0.25">
      <c r="A45">
        <v>42</v>
      </c>
      <c r="B45" s="19">
        <v>202301076</v>
      </c>
      <c r="C45" s="19" t="s">
        <v>538</v>
      </c>
      <c r="D45" s="19" t="s">
        <v>539</v>
      </c>
      <c r="E45">
        <f>7950</f>
        <v>7950</v>
      </c>
      <c r="F45" s="19"/>
      <c r="G45" s="19"/>
      <c r="H45" s="19">
        <v>1900</v>
      </c>
      <c r="I45" s="19" t="s">
        <v>102</v>
      </c>
      <c r="J45" s="19">
        <v>1300</v>
      </c>
      <c r="K45" t="s">
        <v>237</v>
      </c>
      <c r="N45">
        <v>800</v>
      </c>
      <c r="O45" t="s">
        <v>28</v>
      </c>
      <c r="P45">
        <v>1500</v>
      </c>
      <c r="Q45" t="s">
        <v>475</v>
      </c>
      <c r="AD45">
        <f t="shared" si="4"/>
        <v>5500</v>
      </c>
      <c r="AE45">
        <f t="shared" si="5"/>
        <v>2450</v>
      </c>
      <c r="AG45" s="58"/>
      <c r="AH45" s="58"/>
      <c r="AI45" s="58"/>
    </row>
    <row r="46" spans="1:61" ht="15.75" x14ac:dyDescent="0.25">
      <c r="A46">
        <v>43</v>
      </c>
      <c r="B46" s="19">
        <v>202301077</v>
      </c>
      <c r="C46" s="19" t="s">
        <v>540</v>
      </c>
      <c r="D46" s="19" t="s">
        <v>541</v>
      </c>
      <c r="E46">
        <f>7950</f>
        <v>7950</v>
      </c>
      <c r="F46" s="19"/>
      <c r="G46" s="19"/>
      <c r="H46" s="19">
        <v>3050</v>
      </c>
      <c r="I46" s="19" t="s">
        <v>99</v>
      </c>
      <c r="J46">
        <v>2600</v>
      </c>
      <c r="K46" t="s">
        <v>193</v>
      </c>
      <c r="L46">
        <v>2300</v>
      </c>
      <c r="M46" t="s">
        <v>371</v>
      </c>
      <c r="AD46">
        <f t="shared" si="4"/>
        <v>7950</v>
      </c>
      <c r="AE46">
        <f t="shared" si="5"/>
        <v>0</v>
      </c>
      <c r="AG46" s="58"/>
      <c r="AH46" s="58"/>
      <c r="AI46" s="58"/>
    </row>
    <row r="47" spans="1:61" ht="15.75" x14ac:dyDescent="0.25">
      <c r="A47">
        <v>44</v>
      </c>
      <c r="B47" s="19">
        <v>202301081</v>
      </c>
      <c r="C47" s="19" t="s">
        <v>542</v>
      </c>
      <c r="D47" s="19" t="s">
        <v>543</v>
      </c>
      <c r="E47">
        <f>7950</f>
        <v>7950</v>
      </c>
      <c r="F47" s="19"/>
      <c r="G47" s="19"/>
      <c r="H47" s="19"/>
      <c r="I47" s="19"/>
      <c r="J47" s="19">
        <v>3000</v>
      </c>
      <c r="K47" s="19" t="s">
        <v>460</v>
      </c>
      <c r="L47">
        <v>1850</v>
      </c>
      <c r="M47" t="s">
        <v>544</v>
      </c>
      <c r="N47">
        <v>3000</v>
      </c>
      <c r="O47" t="s">
        <v>545</v>
      </c>
      <c r="AD47">
        <f t="shared" si="4"/>
        <v>7850</v>
      </c>
      <c r="AE47">
        <f t="shared" si="5"/>
        <v>100</v>
      </c>
      <c r="AG47" s="58"/>
      <c r="AH47" s="58"/>
      <c r="AI47" s="58"/>
    </row>
    <row r="48" spans="1:61" ht="15.75" x14ac:dyDescent="0.25">
      <c r="A48">
        <v>45</v>
      </c>
      <c r="B48" s="19">
        <v>202301084</v>
      </c>
      <c r="C48" s="60" t="s">
        <v>546</v>
      </c>
      <c r="D48" s="19" t="s">
        <v>126</v>
      </c>
      <c r="E48">
        <f>7950</f>
        <v>7950</v>
      </c>
      <c r="F48" s="19"/>
      <c r="G48" s="19"/>
      <c r="H48" s="19"/>
      <c r="I48" s="19"/>
      <c r="J48" s="19">
        <v>4000</v>
      </c>
      <c r="K48" s="19" t="s">
        <v>221</v>
      </c>
      <c r="L48" s="19"/>
      <c r="M48" s="19"/>
      <c r="AD48">
        <f t="shared" si="4"/>
        <v>4000</v>
      </c>
      <c r="AE48">
        <f t="shared" si="5"/>
        <v>3950</v>
      </c>
      <c r="AG48" s="58"/>
      <c r="AH48" s="58"/>
      <c r="AI48" s="58"/>
    </row>
    <row r="49" spans="1:35" ht="15.75" x14ac:dyDescent="0.25">
      <c r="A49">
        <v>46</v>
      </c>
      <c r="B49" s="19">
        <v>202301085</v>
      </c>
      <c r="C49" s="60" t="s">
        <v>547</v>
      </c>
      <c r="D49" s="19" t="s">
        <v>97</v>
      </c>
      <c r="E49">
        <f>7950</f>
        <v>7950</v>
      </c>
      <c r="F49" s="19"/>
      <c r="G49" s="19"/>
      <c r="H49" s="19">
        <v>2000</v>
      </c>
      <c r="I49" s="19" t="s">
        <v>31</v>
      </c>
      <c r="J49" s="19"/>
      <c r="K49" s="19"/>
      <c r="L49">
        <v>2000</v>
      </c>
      <c r="M49" t="s">
        <v>472</v>
      </c>
      <c r="N49">
        <v>2000</v>
      </c>
      <c r="O49" t="s">
        <v>493</v>
      </c>
      <c r="P49">
        <v>1800</v>
      </c>
      <c r="Q49" t="s">
        <v>53</v>
      </c>
      <c r="R49">
        <v>150</v>
      </c>
      <c r="S49" t="s">
        <v>95</v>
      </c>
      <c r="AD49">
        <f t="shared" si="4"/>
        <v>7950</v>
      </c>
      <c r="AE49">
        <f t="shared" si="5"/>
        <v>0</v>
      </c>
      <c r="AG49" s="58"/>
      <c r="AH49" s="58"/>
      <c r="AI49" s="58"/>
    </row>
    <row r="50" spans="1:35" ht="15.75" x14ac:dyDescent="0.25">
      <c r="A50">
        <v>47</v>
      </c>
      <c r="B50" s="19">
        <v>202301086</v>
      </c>
      <c r="C50" s="19" t="s">
        <v>548</v>
      </c>
      <c r="D50" s="19" t="s">
        <v>549</v>
      </c>
      <c r="E50">
        <f>7950</f>
        <v>7950</v>
      </c>
      <c r="F50" s="19"/>
      <c r="G50" s="19"/>
      <c r="H50" s="19">
        <v>4000</v>
      </c>
      <c r="I50" s="19" t="s">
        <v>237</v>
      </c>
      <c r="J50" s="19">
        <v>1700</v>
      </c>
      <c r="K50" s="19" t="s">
        <v>221</v>
      </c>
      <c r="L50" s="19">
        <v>300</v>
      </c>
      <c r="M50" s="19" t="s">
        <v>550</v>
      </c>
      <c r="N50">
        <v>1950</v>
      </c>
      <c r="O50" t="s">
        <v>67</v>
      </c>
      <c r="AD50">
        <f>F50+H50+J50+L50+N50+P50+R50+T50+V50+AB50</f>
        <v>7950</v>
      </c>
      <c r="AE50">
        <f>E50-AD50</f>
        <v>0</v>
      </c>
      <c r="AG50" s="58"/>
      <c r="AH50" s="58"/>
      <c r="AI50" s="58"/>
    </row>
    <row r="51" spans="1:35" ht="15.75" x14ac:dyDescent="0.25">
      <c r="A51">
        <v>48</v>
      </c>
      <c r="B51" s="19">
        <v>202301087</v>
      </c>
      <c r="C51" s="60" t="s">
        <v>551</v>
      </c>
      <c r="D51" s="19" t="s">
        <v>552</v>
      </c>
      <c r="E51">
        <f>7950</f>
        <v>7950</v>
      </c>
      <c r="F51" s="19">
        <v>3000</v>
      </c>
      <c r="G51" s="19" t="s">
        <v>102</v>
      </c>
      <c r="H51" s="19">
        <v>1000</v>
      </c>
      <c r="I51" s="19" t="s">
        <v>55</v>
      </c>
      <c r="J51" s="19">
        <v>2000</v>
      </c>
      <c r="K51" s="19" t="s">
        <v>145</v>
      </c>
      <c r="L51">
        <v>1950</v>
      </c>
      <c r="M51" t="s">
        <v>258</v>
      </c>
      <c r="AD51">
        <f t="shared" si="4"/>
        <v>7950</v>
      </c>
      <c r="AE51">
        <f t="shared" si="5"/>
        <v>0</v>
      </c>
      <c r="AG51" s="58"/>
      <c r="AH51" s="58"/>
      <c r="AI51" s="58"/>
    </row>
    <row r="52" spans="1:35" ht="15.75" x14ac:dyDescent="0.25">
      <c r="A52">
        <v>49</v>
      </c>
      <c r="B52" s="19">
        <v>202301088</v>
      </c>
      <c r="C52" s="19" t="s">
        <v>485</v>
      </c>
      <c r="D52" s="19" t="s">
        <v>60</v>
      </c>
      <c r="E52">
        <f>7950</f>
        <v>7950</v>
      </c>
      <c r="F52" s="19"/>
      <c r="G52" s="19"/>
      <c r="H52" s="19">
        <v>4000</v>
      </c>
      <c r="I52" s="19" t="s">
        <v>122</v>
      </c>
      <c r="J52" s="19"/>
      <c r="K52" s="19"/>
      <c r="L52" s="19">
        <v>2000</v>
      </c>
      <c r="M52" s="19" t="s">
        <v>550</v>
      </c>
      <c r="N52">
        <v>1950</v>
      </c>
      <c r="O52" t="s">
        <v>25</v>
      </c>
      <c r="AD52">
        <f t="shared" si="4"/>
        <v>7950</v>
      </c>
      <c r="AE52">
        <f t="shared" si="5"/>
        <v>0</v>
      </c>
      <c r="AG52" s="58"/>
      <c r="AH52" s="58"/>
      <c r="AI52" s="58"/>
    </row>
    <row r="53" spans="1:35" ht="15.75" x14ac:dyDescent="0.25">
      <c r="A53">
        <v>50</v>
      </c>
      <c r="B53" s="19">
        <v>202301092</v>
      </c>
      <c r="C53" s="19" t="s">
        <v>553</v>
      </c>
      <c r="D53" s="19" t="s">
        <v>554</v>
      </c>
      <c r="E53">
        <f>7950</f>
        <v>7950</v>
      </c>
      <c r="F53" s="19">
        <v>4000</v>
      </c>
      <c r="G53" s="19" t="s">
        <v>358</v>
      </c>
      <c r="H53" s="19">
        <v>2000</v>
      </c>
      <c r="I53" s="19" t="s">
        <v>20</v>
      </c>
      <c r="J53">
        <v>1500</v>
      </c>
      <c r="K53" t="s">
        <v>238</v>
      </c>
      <c r="L53">
        <v>450</v>
      </c>
      <c r="M53" t="s">
        <v>52</v>
      </c>
      <c r="AD53">
        <f>F53+H53+J53+L53+N53+P53+R53+T53+V53+AB53</f>
        <v>7950</v>
      </c>
      <c r="AE53">
        <f t="shared" si="5"/>
        <v>0</v>
      </c>
      <c r="AG53" s="58"/>
      <c r="AH53" s="58"/>
      <c r="AI53" s="58"/>
    </row>
    <row r="54" spans="1:35" ht="15.75" x14ac:dyDescent="0.25">
      <c r="A54">
        <v>51</v>
      </c>
      <c r="B54">
        <v>1</v>
      </c>
      <c r="C54" t="s">
        <v>274</v>
      </c>
      <c r="D54" t="s">
        <v>555</v>
      </c>
      <c r="E54">
        <v>5000</v>
      </c>
      <c r="F54">
        <v>1400</v>
      </c>
      <c r="G54" t="s">
        <v>28</v>
      </c>
      <c r="H54" s="19">
        <v>3600</v>
      </c>
      <c r="I54" s="19" t="s">
        <v>28</v>
      </c>
      <c r="J54" s="19"/>
      <c r="K54" s="19"/>
      <c r="AD54">
        <f t="shared" ref="AD54:AD63" si="6">F54+H54+J54+L54+N54+P54+R54+T54+V54+AB54</f>
        <v>5000</v>
      </c>
      <c r="AE54">
        <f t="shared" si="5"/>
        <v>0</v>
      </c>
      <c r="AG54" s="58"/>
      <c r="AH54" s="58"/>
      <c r="AI54" s="58"/>
    </row>
    <row r="55" spans="1:35" x14ac:dyDescent="0.25">
      <c r="A55">
        <v>52</v>
      </c>
      <c r="B55">
        <v>202207021</v>
      </c>
      <c r="C55" t="s">
        <v>556</v>
      </c>
      <c r="D55" t="s">
        <v>97</v>
      </c>
      <c r="E55">
        <v>5000</v>
      </c>
      <c r="L55">
        <v>2000</v>
      </c>
      <c r="M55" t="s">
        <v>477</v>
      </c>
      <c r="AD55">
        <f t="shared" si="6"/>
        <v>2000</v>
      </c>
      <c r="AE55">
        <f t="shared" si="5"/>
        <v>3000</v>
      </c>
      <c r="AG55" s="58"/>
      <c r="AH55" s="58"/>
      <c r="AI55" s="58"/>
    </row>
    <row r="56" spans="1:35" x14ac:dyDescent="0.25">
      <c r="A56">
        <v>53</v>
      </c>
      <c r="B56">
        <v>202201077</v>
      </c>
      <c r="C56" t="s">
        <v>557</v>
      </c>
      <c r="D56" t="s">
        <v>558</v>
      </c>
      <c r="E56">
        <v>5000</v>
      </c>
      <c r="L56">
        <v>3000</v>
      </c>
      <c r="M56" t="s">
        <v>463</v>
      </c>
      <c r="N56">
        <v>2000</v>
      </c>
      <c r="O56" t="s">
        <v>434</v>
      </c>
      <c r="AD56">
        <f t="shared" si="6"/>
        <v>5000</v>
      </c>
      <c r="AE56">
        <f t="shared" si="5"/>
        <v>0</v>
      </c>
      <c r="AG56" s="58"/>
      <c r="AH56" s="58"/>
      <c r="AI56" s="58"/>
    </row>
    <row r="57" spans="1:35" x14ac:dyDescent="0.25">
      <c r="A57">
        <v>54</v>
      </c>
      <c r="B57">
        <v>6</v>
      </c>
      <c r="C57" t="s">
        <v>559</v>
      </c>
      <c r="D57" t="s">
        <v>560</v>
      </c>
      <c r="E57">
        <v>4000</v>
      </c>
      <c r="H57">
        <v>3000</v>
      </c>
      <c r="I57" t="s">
        <v>23</v>
      </c>
      <c r="J57">
        <v>1000</v>
      </c>
      <c r="K57" t="s">
        <v>219</v>
      </c>
      <c r="AD57">
        <f t="shared" si="6"/>
        <v>4000</v>
      </c>
      <c r="AE57">
        <f t="shared" si="5"/>
        <v>0</v>
      </c>
      <c r="AG57" s="58"/>
      <c r="AH57" s="58"/>
      <c r="AI57" s="58"/>
    </row>
    <row r="58" spans="1:35" x14ac:dyDescent="0.25">
      <c r="A58">
        <v>55</v>
      </c>
      <c r="B58">
        <v>202201076</v>
      </c>
      <c r="C58" t="s">
        <v>375</v>
      </c>
      <c r="D58" t="s">
        <v>561</v>
      </c>
      <c r="E58">
        <v>5000</v>
      </c>
      <c r="H58">
        <v>1000</v>
      </c>
      <c r="I58" t="s">
        <v>224</v>
      </c>
      <c r="N58">
        <v>1500</v>
      </c>
      <c r="O58" t="s">
        <v>62</v>
      </c>
      <c r="P58">
        <v>2500</v>
      </c>
      <c r="Q58" t="s">
        <v>129</v>
      </c>
      <c r="AD58">
        <f t="shared" si="6"/>
        <v>5000</v>
      </c>
      <c r="AE58">
        <f t="shared" si="5"/>
        <v>0</v>
      </c>
      <c r="AG58" s="58"/>
      <c r="AH58" s="58"/>
      <c r="AI58" s="58"/>
    </row>
    <row r="59" spans="1:35" x14ac:dyDescent="0.25">
      <c r="A59">
        <v>56</v>
      </c>
      <c r="B59">
        <v>22010067</v>
      </c>
      <c r="C59" t="s">
        <v>377</v>
      </c>
      <c r="D59" t="s">
        <v>119</v>
      </c>
      <c r="E59">
        <v>0</v>
      </c>
      <c r="AD59">
        <f t="shared" si="6"/>
        <v>0</v>
      </c>
      <c r="AE59">
        <f t="shared" si="5"/>
        <v>0</v>
      </c>
      <c r="AG59" s="58"/>
      <c r="AH59" s="58"/>
      <c r="AI59" s="58"/>
    </row>
    <row r="60" spans="1:35" ht="15.75" x14ac:dyDescent="0.25">
      <c r="A60">
        <v>57</v>
      </c>
      <c r="C60" t="s">
        <v>562</v>
      </c>
      <c r="D60" t="s">
        <v>97</v>
      </c>
      <c r="E60">
        <v>5000</v>
      </c>
      <c r="F60" s="19"/>
      <c r="G60" s="19"/>
      <c r="N60">
        <v>2200</v>
      </c>
      <c r="O60" t="s">
        <v>92</v>
      </c>
      <c r="P60">
        <v>2800</v>
      </c>
      <c r="Q60" t="s">
        <v>53</v>
      </c>
      <c r="AD60">
        <f t="shared" si="6"/>
        <v>5000</v>
      </c>
      <c r="AE60">
        <f t="shared" si="5"/>
        <v>0</v>
      </c>
      <c r="AG60" s="58"/>
      <c r="AH60" s="58"/>
      <c r="AI60" s="58"/>
    </row>
    <row r="61" spans="1:35" ht="15.75" x14ac:dyDescent="0.25">
      <c r="A61">
        <v>58</v>
      </c>
      <c r="C61" t="s">
        <v>148</v>
      </c>
      <c r="D61" t="s">
        <v>563</v>
      </c>
      <c r="E61">
        <v>5000</v>
      </c>
      <c r="F61" s="19"/>
      <c r="G61" s="19"/>
      <c r="N61">
        <v>2000</v>
      </c>
      <c r="O61" t="s">
        <v>183</v>
      </c>
      <c r="P61">
        <v>3000</v>
      </c>
      <c r="Q61" t="s">
        <v>67</v>
      </c>
      <c r="AD61">
        <f t="shared" si="6"/>
        <v>5000</v>
      </c>
      <c r="AE61">
        <f t="shared" si="5"/>
        <v>0</v>
      </c>
      <c r="AG61" s="58"/>
      <c r="AH61" s="58"/>
      <c r="AI61" s="58"/>
    </row>
    <row r="62" spans="1:35" x14ac:dyDescent="0.25">
      <c r="A62">
        <v>59</v>
      </c>
      <c r="C62" t="s">
        <v>296</v>
      </c>
      <c r="D62" t="s">
        <v>170</v>
      </c>
      <c r="E62">
        <v>5000</v>
      </c>
      <c r="H62">
        <v>1500</v>
      </c>
      <c r="I62" t="s">
        <v>53</v>
      </c>
      <c r="J62">
        <v>500</v>
      </c>
      <c r="K62" t="s">
        <v>117</v>
      </c>
      <c r="L62">
        <v>2000</v>
      </c>
      <c r="M62" t="s">
        <v>564</v>
      </c>
      <c r="N62">
        <v>1000</v>
      </c>
      <c r="O62" t="s">
        <v>545</v>
      </c>
      <c r="AD62">
        <f t="shared" si="6"/>
        <v>5000</v>
      </c>
      <c r="AE62">
        <f t="shared" si="5"/>
        <v>0</v>
      </c>
      <c r="AG62" s="58"/>
      <c r="AH62" s="58"/>
      <c r="AI62" s="58"/>
    </row>
    <row r="63" spans="1:35" x14ac:dyDescent="0.25">
      <c r="A63">
        <v>60</v>
      </c>
      <c r="C63" t="s">
        <v>565</v>
      </c>
      <c r="D63" t="s">
        <v>126</v>
      </c>
      <c r="E63">
        <v>5000</v>
      </c>
      <c r="L63">
        <v>1700</v>
      </c>
      <c r="M63" t="s">
        <v>134</v>
      </c>
      <c r="N63">
        <v>2000</v>
      </c>
      <c r="O63" t="s">
        <v>508</v>
      </c>
      <c r="P63">
        <f>2500-1200</f>
        <v>1300</v>
      </c>
      <c r="Q63" t="s">
        <v>254</v>
      </c>
      <c r="AD63">
        <f t="shared" si="6"/>
        <v>5000</v>
      </c>
      <c r="AE63">
        <f t="shared" si="5"/>
        <v>0</v>
      </c>
      <c r="AG63" s="58"/>
      <c r="AH63" s="58"/>
      <c r="AI63" s="58"/>
    </row>
    <row r="64" spans="1:35" ht="15.75" x14ac:dyDescent="0.25">
      <c r="E64" s="23">
        <f>SUM(E4:E63)</f>
        <v>441500</v>
      </c>
      <c r="AD64" s="25">
        <f>SUM(AD4:AD63)</f>
        <v>419840</v>
      </c>
      <c r="AE64" s="25">
        <f>SUM(AE4:AE63)</f>
        <v>21660</v>
      </c>
    </row>
    <row r="65" spans="6:30" x14ac:dyDescent="0.25">
      <c r="F65" s="25">
        <f>SUM(F4:F64)</f>
        <v>36220</v>
      </c>
      <c r="H65" s="25">
        <f>SUM(H4:H64)</f>
        <v>126040</v>
      </c>
      <c r="J65" s="25">
        <f>SUM(J4:J64)</f>
        <v>77980</v>
      </c>
      <c r="L65" s="25">
        <f>SUM(L4:L64)</f>
        <v>84390</v>
      </c>
      <c r="N65" s="25">
        <f>SUM(N4:N64)</f>
        <v>55035</v>
      </c>
      <c r="AD65" s="30">
        <f>F65+H65+J65+L65+N65</f>
        <v>379665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85CC-23BA-434C-9AE6-F950E21F52F0}">
  <dimension ref="A1:Z52"/>
  <sheetViews>
    <sheetView tabSelected="1" workbookViewId="0">
      <selection activeCell="C1" sqref="C1"/>
    </sheetView>
  </sheetViews>
  <sheetFormatPr defaultRowHeight="15.75" x14ac:dyDescent="0.25"/>
  <cols>
    <col min="1" max="1" width="9.28515625" style="1" bestFit="1" customWidth="1"/>
    <col min="2" max="2" width="16.7109375" style="1" customWidth="1"/>
    <col min="3" max="3" width="20.42578125" style="1" customWidth="1"/>
    <col min="4" max="4" width="23.85546875" style="1" customWidth="1"/>
    <col min="5" max="5" width="21.140625" style="1" customWidth="1"/>
    <col min="6" max="6" width="15.5703125" style="1" bestFit="1" customWidth="1"/>
    <col min="7" max="7" width="11.7109375" style="1" customWidth="1"/>
    <col min="8" max="8" width="16.28515625" style="1" customWidth="1"/>
    <col min="9" max="9" width="10.85546875" style="1" customWidth="1"/>
    <col min="10" max="10" width="17.140625" style="1" customWidth="1"/>
    <col min="11" max="11" width="11.7109375" style="1" customWidth="1"/>
    <col min="12" max="12" width="15.42578125" style="1" bestFit="1" customWidth="1"/>
    <col min="13" max="13" width="11.5703125" style="1" customWidth="1"/>
    <col min="14" max="14" width="15.5703125" style="1" bestFit="1" customWidth="1"/>
    <col min="15" max="15" width="11" style="1" customWidth="1"/>
    <col min="16" max="16" width="9.28515625" style="1" bestFit="1" customWidth="1"/>
    <col min="17" max="17" width="11.28515625" style="1" customWidth="1"/>
    <col min="18" max="18" width="9.28515625" style="1" bestFit="1" customWidth="1"/>
    <col min="19" max="19" width="11" style="1" customWidth="1"/>
    <col min="20" max="20" width="9.28515625" style="1" bestFit="1" customWidth="1"/>
    <col min="21" max="21" width="14.140625" style="1" customWidth="1"/>
    <col min="22" max="23" width="9.140625" style="1"/>
    <col min="24" max="24" width="6.85546875" style="1" customWidth="1"/>
    <col min="25" max="25" width="17.140625" style="1" customWidth="1"/>
    <col min="26" max="26" width="17" style="1" bestFit="1" customWidth="1"/>
    <col min="27" max="16384" width="9.140625" style="1"/>
  </cols>
  <sheetData>
    <row r="1" spans="1:26" x14ac:dyDescent="0.25">
      <c r="B1" s="2" t="s">
        <v>0</v>
      </c>
      <c r="C1" s="3"/>
      <c r="D1" s="3"/>
      <c r="E1" s="3"/>
      <c r="F1" s="3"/>
      <c r="G1" s="3"/>
      <c r="H1" s="3"/>
    </row>
    <row r="2" spans="1:26" x14ac:dyDescent="0.25">
      <c r="B2" s="4" t="s">
        <v>1</v>
      </c>
      <c r="C2" s="3"/>
      <c r="D2" s="3"/>
      <c r="E2" s="3"/>
      <c r="F2" s="3"/>
      <c r="G2" s="3"/>
      <c r="H2" s="3"/>
    </row>
    <row r="3" spans="1:26" x14ac:dyDescent="0.25">
      <c r="B3" s="3" t="s">
        <v>2</v>
      </c>
      <c r="C3" s="3" t="s">
        <v>3</v>
      </c>
      <c r="D3" s="3" t="s">
        <v>4</v>
      </c>
      <c r="E3" s="3" t="s">
        <v>5</v>
      </c>
      <c r="F3" s="3" t="s">
        <v>6</v>
      </c>
      <c r="H3" s="3" t="s">
        <v>7</v>
      </c>
      <c r="J3" s="3" t="s">
        <v>8</v>
      </c>
      <c r="L3" s="3" t="s">
        <v>9</v>
      </c>
      <c r="N3" s="3" t="s">
        <v>10</v>
      </c>
      <c r="P3" s="3" t="s">
        <v>11</v>
      </c>
      <c r="R3" s="3" t="s">
        <v>12</v>
      </c>
      <c r="Y3" s="3" t="s">
        <v>13</v>
      </c>
      <c r="Z3" s="3" t="s">
        <v>14</v>
      </c>
    </row>
    <row r="4" spans="1:26" x14ac:dyDescent="0.25">
      <c r="A4" s="1">
        <v>1</v>
      </c>
      <c r="B4" s="5">
        <v>202307002</v>
      </c>
      <c r="C4" s="6" t="s">
        <v>15</v>
      </c>
      <c r="D4" s="6" t="s">
        <v>16</v>
      </c>
      <c r="E4" s="1">
        <v>4200</v>
      </c>
      <c r="F4" s="6"/>
      <c r="G4" s="6"/>
      <c r="H4" s="1">
        <v>4200</v>
      </c>
      <c r="I4" s="1" t="s">
        <v>17</v>
      </c>
      <c r="Y4" s="1">
        <f t="shared" ref="Y4:Y45" si="0">SUM(F4+H4+J4+L4+N4+P4+R4+T4+V4)</f>
        <v>4200</v>
      </c>
      <c r="Z4" s="1">
        <f t="shared" ref="Z4:Z45" si="1">E4-Y4</f>
        <v>0</v>
      </c>
    </row>
    <row r="5" spans="1:26" x14ac:dyDescent="0.25">
      <c r="A5" s="1">
        <v>2</v>
      </c>
      <c r="B5" s="7">
        <v>202307004</v>
      </c>
      <c r="C5" s="1" t="s">
        <v>18</v>
      </c>
      <c r="D5" s="1" t="s">
        <v>19</v>
      </c>
      <c r="E5" s="1">
        <f>8200</f>
        <v>8200</v>
      </c>
      <c r="F5" s="1">
        <v>4000</v>
      </c>
      <c r="G5" s="1" t="s">
        <v>20</v>
      </c>
      <c r="H5" s="1">
        <v>4200</v>
      </c>
      <c r="I5" s="1" t="s">
        <v>20</v>
      </c>
      <c r="Y5" s="1">
        <f t="shared" si="0"/>
        <v>8200</v>
      </c>
      <c r="Z5" s="1">
        <f t="shared" si="1"/>
        <v>0</v>
      </c>
    </row>
    <row r="6" spans="1:26" x14ac:dyDescent="0.25">
      <c r="A6" s="1">
        <v>3</v>
      </c>
      <c r="B6" s="7">
        <v>202307005</v>
      </c>
      <c r="C6" s="1" t="s">
        <v>21</v>
      </c>
      <c r="D6" s="1" t="s">
        <v>22</v>
      </c>
      <c r="E6" s="1">
        <f>8200</f>
        <v>8200</v>
      </c>
      <c r="H6" s="1">
        <v>4200</v>
      </c>
      <c r="I6" s="1" t="s">
        <v>23</v>
      </c>
      <c r="L6" s="1">
        <v>2000</v>
      </c>
      <c r="M6" s="1" t="s">
        <v>24</v>
      </c>
      <c r="N6" s="1">
        <v>2000</v>
      </c>
      <c r="O6" s="1" t="s">
        <v>25</v>
      </c>
      <c r="Y6" s="1">
        <f t="shared" si="0"/>
        <v>8200</v>
      </c>
      <c r="Z6" s="1">
        <f t="shared" si="1"/>
        <v>0</v>
      </c>
    </row>
    <row r="7" spans="1:26" x14ac:dyDescent="0.25">
      <c r="A7" s="1">
        <v>4</v>
      </c>
      <c r="B7" s="7">
        <v>202307009</v>
      </c>
      <c r="C7" s="1" t="s">
        <v>26</v>
      </c>
      <c r="D7" s="1" t="s">
        <v>27</v>
      </c>
      <c r="E7" s="1">
        <f>8200</f>
        <v>8200</v>
      </c>
      <c r="H7" s="1">
        <v>5200</v>
      </c>
      <c r="I7" s="1" t="s">
        <v>23</v>
      </c>
      <c r="L7" s="1">
        <v>3000</v>
      </c>
      <c r="M7" s="1" t="s">
        <v>28</v>
      </c>
      <c r="Y7" s="1">
        <f t="shared" si="0"/>
        <v>8200</v>
      </c>
      <c r="Z7" s="1">
        <f t="shared" si="1"/>
        <v>0</v>
      </c>
    </row>
    <row r="8" spans="1:26" x14ac:dyDescent="0.25">
      <c r="A8" s="1">
        <v>5</v>
      </c>
      <c r="B8" s="7">
        <v>202307049</v>
      </c>
      <c r="C8" s="1" t="s">
        <v>29</v>
      </c>
      <c r="D8" s="1" t="s">
        <v>30</v>
      </c>
      <c r="E8" s="1">
        <f>8200</f>
        <v>8200</v>
      </c>
      <c r="F8" s="1">
        <v>3000</v>
      </c>
      <c r="G8" s="1" t="s">
        <v>31</v>
      </c>
      <c r="H8" s="1">
        <v>1100</v>
      </c>
      <c r="I8" s="1" t="s">
        <v>32</v>
      </c>
      <c r="N8" s="1">
        <v>2050</v>
      </c>
      <c r="O8" s="1" t="s">
        <v>33</v>
      </c>
      <c r="P8" s="1">
        <v>2050</v>
      </c>
      <c r="Q8" s="1" t="s">
        <v>34</v>
      </c>
      <c r="Y8" s="1">
        <f t="shared" si="0"/>
        <v>8200</v>
      </c>
      <c r="Z8" s="1">
        <f t="shared" si="1"/>
        <v>0</v>
      </c>
    </row>
    <row r="9" spans="1:26" x14ac:dyDescent="0.25">
      <c r="A9" s="1">
        <v>6</v>
      </c>
      <c r="B9" s="7">
        <v>202307011</v>
      </c>
      <c r="C9" s="1" t="s">
        <v>35</v>
      </c>
      <c r="D9" s="1" t="s">
        <v>36</v>
      </c>
      <c r="E9" s="1">
        <f>8200</f>
        <v>8200</v>
      </c>
      <c r="H9" s="1">
        <v>4000</v>
      </c>
      <c r="I9" s="1" t="s">
        <v>37</v>
      </c>
      <c r="N9" s="1">
        <v>2000</v>
      </c>
      <c r="O9" s="1" t="s">
        <v>38</v>
      </c>
      <c r="P9" s="1">
        <v>2200</v>
      </c>
      <c r="Q9" s="1" t="s">
        <v>39</v>
      </c>
      <c r="Y9" s="1">
        <f t="shared" si="0"/>
        <v>8200</v>
      </c>
      <c r="Z9" s="1">
        <f t="shared" si="1"/>
        <v>0</v>
      </c>
    </row>
    <row r="10" spans="1:26" x14ac:dyDescent="0.25">
      <c r="A10" s="1">
        <v>7</v>
      </c>
      <c r="B10" s="7">
        <v>202307012</v>
      </c>
      <c r="C10" s="1" t="s">
        <v>40</v>
      </c>
      <c r="D10" s="1" t="s">
        <v>41</v>
      </c>
      <c r="E10" s="1">
        <f>8200</f>
        <v>8200</v>
      </c>
      <c r="F10" s="1">
        <v>2500</v>
      </c>
      <c r="G10" s="1" t="s">
        <v>42</v>
      </c>
      <c r="H10" s="1">
        <v>1500</v>
      </c>
      <c r="I10" s="1" t="s">
        <v>43</v>
      </c>
      <c r="J10" s="1">
        <v>1000</v>
      </c>
      <c r="K10" s="1" t="s">
        <v>43</v>
      </c>
      <c r="L10" s="1">
        <v>1000</v>
      </c>
      <c r="M10" s="1" t="s">
        <v>44</v>
      </c>
      <c r="N10" s="1">
        <v>2200</v>
      </c>
      <c r="O10" s="1" t="s">
        <v>45</v>
      </c>
      <c r="Y10" s="1">
        <f t="shared" si="0"/>
        <v>8200</v>
      </c>
      <c r="Z10" s="1">
        <f t="shared" si="1"/>
        <v>0</v>
      </c>
    </row>
    <row r="11" spans="1:26" x14ac:dyDescent="0.25">
      <c r="A11" s="67">
        <v>8</v>
      </c>
      <c r="B11" s="68">
        <v>202307013</v>
      </c>
      <c r="C11" s="67" t="s">
        <v>46</v>
      </c>
      <c r="D11" s="67" t="s">
        <v>47</v>
      </c>
      <c r="E11" s="67">
        <f>8200</f>
        <v>8200</v>
      </c>
      <c r="F11" s="67"/>
      <c r="G11" s="67"/>
      <c r="H11" s="67">
        <v>4200</v>
      </c>
      <c r="I11" s="67" t="s">
        <v>20</v>
      </c>
      <c r="J11" s="67"/>
      <c r="K11" s="67"/>
      <c r="L11" s="67"/>
      <c r="M11" s="67"/>
      <c r="N11" s="67"/>
      <c r="O11" s="67"/>
      <c r="P11" s="67"/>
      <c r="Q11" s="67"/>
      <c r="R11" s="67"/>
      <c r="S11" s="67"/>
      <c r="T11" s="67"/>
      <c r="U11" s="67"/>
      <c r="V11" s="67"/>
      <c r="W11" s="67"/>
      <c r="X11" s="67"/>
      <c r="Y11" s="67">
        <f t="shared" si="0"/>
        <v>4200</v>
      </c>
      <c r="Z11" s="67">
        <f t="shared" si="1"/>
        <v>4000</v>
      </c>
    </row>
    <row r="12" spans="1:26" x14ac:dyDescent="0.25">
      <c r="A12" s="1">
        <v>9</v>
      </c>
      <c r="B12" s="7">
        <v>202307014</v>
      </c>
      <c r="C12" s="1" t="s">
        <v>48</v>
      </c>
      <c r="D12" s="1" t="s">
        <v>49</v>
      </c>
      <c r="E12" s="1">
        <f>8200</f>
        <v>8200</v>
      </c>
      <c r="F12" s="1">
        <v>1500</v>
      </c>
      <c r="G12" s="1" t="s">
        <v>50</v>
      </c>
      <c r="H12" s="1">
        <v>2600</v>
      </c>
      <c r="I12" s="1" t="s">
        <v>51</v>
      </c>
      <c r="N12" s="1">
        <v>2000</v>
      </c>
      <c r="O12" s="1" t="s">
        <v>52</v>
      </c>
      <c r="P12" s="1">
        <v>2000</v>
      </c>
      <c r="Q12" s="1" t="s">
        <v>53</v>
      </c>
      <c r="Y12" s="1">
        <f t="shared" si="0"/>
        <v>8100</v>
      </c>
      <c r="Z12" s="1">
        <f t="shared" si="1"/>
        <v>100</v>
      </c>
    </row>
    <row r="13" spans="1:26" x14ac:dyDescent="0.25">
      <c r="A13" s="1">
        <v>10</v>
      </c>
      <c r="B13" s="7">
        <v>202307015</v>
      </c>
      <c r="C13" s="1" t="s">
        <v>21</v>
      </c>
      <c r="D13" s="1" t="s">
        <v>54</v>
      </c>
      <c r="E13" s="1">
        <f>8200</f>
        <v>8200</v>
      </c>
      <c r="F13" s="1">
        <v>3000</v>
      </c>
      <c r="G13" s="1" t="s">
        <v>37</v>
      </c>
      <c r="H13" s="1">
        <v>1000</v>
      </c>
      <c r="I13" s="1" t="s">
        <v>55</v>
      </c>
      <c r="L13" s="1">
        <v>2000</v>
      </c>
      <c r="M13" s="1" t="s">
        <v>56</v>
      </c>
      <c r="N13" s="1">
        <v>1200</v>
      </c>
      <c r="O13" s="1" t="s">
        <v>57</v>
      </c>
      <c r="P13" s="1">
        <v>1000</v>
      </c>
      <c r="Q13" s="1" t="s">
        <v>58</v>
      </c>
      <c r="Y13" s="1">
        <f t="shared" si="0"/>
        <v>8200</v>
      </c>
      <c r="Z13" s="1">
        <f t="shared" si="1"/>
        <v>0</v>
      </c>
    </row>
    <row r="14" spans="1:26" x14ac:dyDescent="0.25">
      <c r="A14" s="1">
        <v>11</v>
      </c>
      <c r="B14" s="7">
        <v>202307019</v>
      </c>
      <c r="C14" s="1" t="s">
        <v>59</v>
      </c>
      <c r="D14" s="1" t="s">
        <v>60</v>
      </c>
      <c r="E14" s="1">
        <f>8200</f>
        <v>8200</v>
      </c>
      <c r="F14" s="1">
        <v>3700</v>
      </c>
      <c r="G14" s="1" t="s">
        <v>61</v>
      </c>
      <c r="H14" s="1">
        <v>4000</v>
      </c>
      <c r="I14" s="1" t="s">
        <v>61</v>
      </c>
      <c r="N14" s="1">
        <v>500</v>
      </c>
      <c r="O14" s="1" t="s">
        <v>62</v>
      </c>
      <c r="Y14" s="1">
        <f t="shared" si="0"/>
        <v>8200</v>
      </c>
      <c r="Z14" s="1">
        <f t="shared" si="1"/>
        <v>0</v>
      </c>
    </row>
    <row r="15" spans="1:26" x14ac:dyDescent="0.25">
      <c r="A15" s="1">
        <v>12</v>
      </c>
      <c r="B15" s="7">
        <v>202307020</v>
      </c>
      <c r="C15" s="1" t="s">
        <v>63</v>
      </c>
      <c r="D15" s="1" t="s">
        <v>64</v>
      </c>
      <c r="E15" s="1">
        <f>8200</f>
        <v>8200</v>
      </c>
      <c r="F15" s="1">
        <v>4100</v>
      </c>
      <c r="H15" s="1">
        <v>1000</v>
      </c>
      <c r="I15" s="1" t="s">
        <v>65</v>
      </c>
      <c r="K15" s="1" t="s">
        <v>66</v>
      </c>
      <c r="N15" s="1">
        <v>1000</v>
      </c>
      <c r="O15" s="1" t="s">
        <v>67</v>
      </c>
      <c r="P15" s="1">
        <v>1000</v>
      </c>
      <c r="Q15" s="1" t="s">
        <v>34</v>
      </c>
      <c r="R15" s="1">
        <v>1100</v>
      </c>
      <c r="S15" s="1" t="s">
        <v>68</v>
      </c>
      <c r="Y15" s="1">
        <f t="shared" si="0"/>
        <v>8200</v>
      </c>
      <c r="Z15" s="1">
        <f t="shared" si="1"/>
        <v>0</v>
      </c>
    </row>
    <row r="16" spans="1:26" x14ac:dyDescent="0.25">
      <c r="A16" s="1">
        <v>13</v>
      </c>
      <c r="B16" s="7">
        <v>202307021</v>
      </c>
      <c r="C16" s="1" t="s">
        <v>69</v>
      </c>
      <c r="D16" s="1" t="s">
        <v>70</v>
      </c>
      <c r="E16" s="1">
        <f>8200</f>
        <v>8200</v>
      </c>
      <c r="H16" s="1">
        <v>4100</v>
      </c>
      <c r="I16" s="1" t="s">
        <v>71</v>
      </c>
      <c r="L16" s="1">
        <v>2050</v>
      </c>
      <c r="M16" s="1" t="s">
        <v>56</v>
      </c>
      <c r="N16" s="1">
        <v>100</v>
      </c>
      <c r="O16" s="1" t="s">
        <v>72</v>
      </c>
      <c r="P16" s="1">
        <v>1950</v>
      </c>
      <c r="Q16" s="1" t="s">
        <v>53</v>
      </c>
      <c r="Y16" s="1">
        <f t="shared" si="0"/>
        <v>8200</v>
      </c>
      <c r="Z16" s="1">
        <f t="shared" si="1"/>
        <v>0</v>
      </c>
    </row>
    <row r="17" spans="1:26" x14ac:dyDescent="0.25">
      <c r="A17" s="1">
        <v>14</v>
      </c>
      <c r="B17" s="7">
        <v>202307022</v>
      </c>
      <c r="C17" s="1" t="s">
        <v>73</v>
      </c>
      <c r="D17" s="1" t="s">
        <v>74</v>
      </c>
      <c r="E17" s="1">
        <f>8200</f>
        <v>8200</v>
      </c>
      <c r="H17" s="1">
        <v>8200</v>
      </c>
      <c r="I17" s="1" t="s">
        <v>75</v>
      </c>
      <c r="Y17" s="1">
        <f t="shared" si="0"/>
        <v>8200</v>
      </c>
      <c r="Z17" s="1">
        <f t="shared" si="1"/>
        <v>0</v>
      </c>
    </row>
    <row r="18" spans="1:26" x14ac:dyDescent="0.25">
      <c r="A18" s="1">
        <v>15</v>
      </c>
      <c r="B18" s="7">
        <v>202307023</v>
      </c>
      <c r="C18" s="1" t="s">
        <v>76</v>
      </c>
      <c r="D18" s="1" t="s">
        <v>77</v>
      </c>
      <c r="E18" s="1">
        <v>4200</v>
      </c>
      <c r="H18" s="1">
        <v>2100</v>
      </c>
      <c r="I18" s="1" t="s">
        <v>43</v>
      </c>
      <c r="N18" s="1">
        <v>1100</v>
      </c>
      <c r="O18" s="1" t="s">
        <v>65</v>
      </c>
      <c r="P18" s="1">
        <v>1000</v>
      </c>
      <c r="Q18" s="1" t="s">
        <v>78</v>
      </c>
      <c r="Y18" s="1">
        <f t="shared" si="0"/>
        <v>4200</v>
      </c>
      <c r="Z18" s="1">
        <f t="shared" si="1"/>
        <v>0</v>
      </c>
    </row>
    <row r="19" spans="1:26" x14ac:dyDescent="0.25">
      <c r="A19" s="1">
        <v>16</v>
      </c>
      <c r="B19" s="7">
        <v>202307024</v>
      </c>
      <c r="C19" s="1" t="s">
        <v>79</v>
      </c>
      <c r="D19" s="1" t="s">
        <v>36</v>
      </c>
      <c r="E19" s="1">
        <f>8200</f>
        <v>8200</v>
      </c>
      <c r="H19" s="1">
        <v>3000</v>
      </c>
      <c r="I19" s="1" t="s">
        <v>43</v>
      </c>
      <c r="N19" s="1">
        <v>2500</v>
      </c>
      <c r="O19" s="1" t="s">
        <v>80</v>
      </c>
      <c r="P19" s="1">
        <v>700</v>
      </c>
      <c r="Q19" s="1" t="s">
        <v>81</v>
      </c>
      <c r="R19" s="1">
        <v>1000</v>
      </c>
      <c r="S19" s="1" t="s">
        <v>82</v>
      </c>
      <c r="T19" s="1">
        <v>1000</v>
      </c>
      <c r="U19" s="1" t="s">
        <v>83</v>
      </c>
      <c r="Y19" s="1">
        <f t="shared" si="0"/>
        <v>8200</v>
      </c>
      <c r="Z19" s="1">
        <f t="shared" si="1"/>
        <v>0</v>
      </c>
    </row>
    <row r="20" spans="1:26" x14ac:dyDescent="0.25">
      <c r="A20" s="1">
        <v>17</v>
      </c>
      <c r="B20" s="7">
        <v>202307026</v>
      </c>
      <c r="C20" s="1" t="s">
        <v>84</v>
      </c>
      <c r="D20" s="1" t="s">
        <v>85</v>
      </c>
      <c r="E20" s="1">
        <f>8200</f>
        <v>8200</v>
      </c>
      <c r="F20" s="1">
        <v>8200</v>
      </c>
      <c r="G20" s="1" t="s">
        <v>23</v>
      </c>
      <c r="Y20" s="1">
        <f t="shared" si="0"/>
        <v>8200</v>
      </c>
      <c r="Z20" s="1">
        <f t="shared" si="1"/>
        <v>0</v>
      </c>
    </row>
    <row r="21" spans="1:26" x14ac:dyDescent="0.25">
      <c r="A21" s="1">
        <v>18</v>
      </c>
      <c r="B21" s="7">
        <v>202307027</v>
      </c>
      <c r="C21" s="1" t="s">
        <v>86</v>
      </c>
      <c r="D21" s="1" t="s">
        <v>85</v>
      </c>
      <c r="E21" s="1">
        <f>8200</f>
        <v>8200</v>
      </c>
      <c r="F21" s="1">
        <v>2000</v>
      </c>
      <c r="G21" s="1" t="s">
        <v>37</v>
      </c>
      <c r="H21" s="1">
        <v>2000</v>
      </c>
      <c r="I21" s="1" t="s">
        <v>87</v>
      </c>
      <c r="N21" s="1">
        <v>2500</v>
      </c>
      <c r="O21" s="1" t="s">
        <v>33</v>
      </c>
      <c r="P21" s="1">
        <v>1700</v>
      </c>
      <c r="Q21" s="1" t="s">
        <v>88</v>
      </c>
      <c r="Y21" s="1">
        <f t="shared" si="0"/>
        <v>8200</v>
      </c>
      <c r="Z21" s="1">
        <f t="shared" si="1"/>
        <v>0</v>
      </c>
    </row>
    <row r="22" spans="1:26" x14ac:dyDescent="0.25">
      <c r="A22" s="1">
        <v>19</v>
      </c>
      <c r="B22" s="7">
        <v>202307031</v>
      </c>
      <c r="C22" s="1" t="s">
        <v>89</v>
      </c>
      <c r="D22" s="1" t="s">
        <v>90</v>
      </c>
      <c r="E22" s="1">
        <f>8200</f>
        <v>8200</v>
      </c>
      <c r="L22" s="1">
        <v>2880</v>
      </c>
      <c r="M22" s="1" t="s">
        <v>28</v>
      </c>
      <c r="N22" s="1">
        <v>3000</v>
      </c>
      <c r="O22" s="1" t="s">
        <v>91</v>
      </c>
      <c r="P22" s="1">
        <v>1720</v>
      </c>
      <c r="Q22" s="1" t="s">
        <v>92</v>
      </c>
      <c r="R22" s="1">
        <v>600</v>
      </c>
      <c r="S22" s="1" t="s">
        <v>92</v>
      </c>
      <c r="Y22" s="1">
        <f t="shared" si="0"/>
        <v>8200</v>
      </c>
      <c r="Z22" s="1">
        <f t="shared" si="1"/>
        <v>0</v>
      </c>
    </row>
    <row r="23" spans="1:26" x14ac:dyDescent="0.25">
      <c r="A23" s="1">
        <v>20</v>
      </c>
      <c r="B23" s="7">
        <v>202307032</v>
      </c>
      <c r="C23" s="1" t="s">
        <v>93</v>
      </c>
      <c r="D23" s="1" t="s">
        <v>94</v>
      </c>
      <c r="E23" s="1">
        <f>8200</f>
        <v>8200</v>
      </c>
      <c r="L23" s="1">
        <v>1500</v>
      </c>
      <c r="M23" s="1" t="s">
        <v>95</v>
      </c>
      <c r="N23" s="1">
        <v>1000</v>
      </c>
      <c r="O23" s="1" t="s">
        <v>96</v>
      </c>
      <c r="P23" s="1">
        <v>1000</v>
      </c>
      <c r="Q23" s="1" t="s">
        <v>571</v>
      </c>
      <c r="R23" s="1">
        <v>3700</v>
      </c>
      <c r="S23" s="1" t="s">
        <v>572</v>
      </c>
      <c r="T23" s="1">
        <v>1000</v>
      </c>
      <c r="U23" s="1" t="s">
        <v>574</v>
      </c>
      <c r="Y23" s="1">
        <f t="shared" si="0"/>
        <v>8200</v>
      </c>
      <c r="Z23" s="1">
        <f t="shared" si="1"/>
        <v>0</v>
      </c>
    </row>
    <row r="24" spans="1:26" x14ac:dyDescent="0.25">
      <c r="A24" s="1">
        <v>21</v>
      </c>
      <c r="B24" s="7">
        <v>202307034</v>
      </c>
      <c r="C24" s="1" t="s">
        <v>577</v>
      </c>
      <c r="D24" s="1" t="s">
        <v>578</v>
      </c>
      <c r="E24" s="1">
        <v>0</v>
      </c>
      <c r="Y24" s="1">
        <f t="shared" si="0"/>
        <v>0</v>
      </c>
      <c r="Z24" s="1">
        <f t="shared" si="1"/>
        <v>0</v>
      </c>
    </row>
    <row r="25" spans="1:26" x14ac:dyDescent="0.25">
      <c r="A25" s="67">
        <v>22</v>
      </c>
      <c r="B25" s="68">
        <v>202307036</v>
      </c>
      <c r="C25" s="67" t="s">
        <v>97</v>
      </c>
      <c r="D25" s="67" t="s">
        <v>98</v>
      </c>
      <c r="E25" s="67">
        <f>8200</f>
        <v>8200</v>
      </c>
      <c r="F25" s="67"/>
      <c r="G25" s="67"/>
      <c r="H25" s="67">
        <v>4200</v>
      </c>
      <c r="I25" s="67" t="s">
        <v>99</v>
      </c>
      <c r="J25" s="67"/>
      <c r="K25" s="67"/>
      <c r="L25" s="67"/>
      <c r="M25" s="67"/>
      <c r="N25" s="67"/>
      <c r="O25" s="67"/>
      <c r="P25" s="67"/>
      <c r="Q25" s="67"/>
      <c r="R25" s="67"/>
      <c r="S25" s="67"/>
      <c r="T25" s="67"/>
      <c r="U25" s="67"/>
      <c r="V25" s="67"/>
      <c r="W25" s="67"/>
      <c r="X25" s="67"/>
      <c r="Y25" s="67">
        <f t="shared" si="0"/>
        <v>4200</v>
      </c>
      <c r="Z25" s="67">
        <f t="shared" si="1"/>
        <v>4000</v>
      </c>
    </row>
    <row r="26" spans="1:26" x14ac:dyDescent="0.25">
      <c r="A26" s="1">
        <v>23</v>
      </c>
      <c r="B26" s="7">
        <v>202307038</v>
      </c>
      <c r="C26" s="1" t="s">
        <v>100</v>
      </c>
      <c r="D26" s="1" t="s">
        <v>101</v>
      </c>
      <c r="E26" s="1">
        <f>8200</f>
        <v>8200</v>
      </c>
      <c r="H26" s="1">
        <v>4500</v>
      </c>
      <c r="I26" s="1" t="s">
        <v>102</v>
      </c>
      <c r="N26" s="1">
        <v>3700</v>
      </c>
      <c r="O26" s="1" t="s">
        <v>103</v>
      </c>
      <c r="Y26" s="1">
        <f t="shared" si="0"/>
        <v>8200</v>
      </c>
      <c r="Z26" s="1">
        <f t="shared" si="1"/>
        <v>0</v>
      </c>
    </row>
    <row r="27" spans="1:26" x14ac:dyDescent="0.25">
      <c r="A27" s="1">
        <v>24</v>
      </c>
      <c r="B27" s="7">
        <v>202307043</v>
      </c>
      <c r="C27" s="1" t="s">
        <v>49</v>
      </c>
      <c r="D27" s="1" t="s">
        <v>49</v>
      </c>
      <c r="E27" s="1">
        <f>8200</f>
        <v>8200</v>
      </c>
      <c r="J27" s="1">
        <v>3900</v>
      </c>
      <c r="K27" s="1" t="s">
        <v>104</v>
      </c>
      <c r="N27" s="1">
        <v>2300</v>
      </c>
      <c r="O27" s="1">
        <v>18.102499999999999</v>
      </c>
      <c r="P27" s="1">
        <v>2000</v>
      </c>
      <c r="Q27" s="1" t="s">
        <v>53</v>
      </c>
      <c r="Y27" s="1">
        <f t="shared" si="0"/>
        <v>8200</v>
      </c>
      <c r="Z27" s="1">
        <f t="shared" si="1"/>
        <v>0</v>
      </c>
    </row>
    <row r="28" spans="1:26" x14ac:dyDescent="0.25">
      <c r="A28" s="1">
        <v>25</v>
      </c>
      <c r="B28" s="7">
        <v>202307044</v>
      </c>
      <c r="C28" s="1" t="s">
        <v>105</v>
      </c>
      <c r="D28" s="1" t="s">
        <v>106</v>
      </c>
      <c r="E28" s="1">
        <f>8200</f>
        <v>8200</v>
      </c>
      <c r="J28" s="1">
        <v>1000</v>
      </c>
      <c r="K28" s="1" t="s">
        <v>107</v>
      </c>
      <c r="N28" s="1">
        <v>4900</v>
      </c>
      <c r="O28" s="1" t="s">
        <v>33</v>
      </c>
      <c r="P28" s="1">
        <v>1000</v>
      </c>
      <c r="Q28" s="1" t="s">
        <v>108</v>
      </c>
      <c r="R28" s="1">
        <v>1300</v>
      </c>
      <c r="S28" s="1" t="s">
        <v>109</v>
      </c>
      <c r="Y28" s="1">
        <f t="shared" si="0"/>
        <v>8200</v>
      </c>
      <c r="Z28" s="1">
        <f t="shared" si="1"/>
        <v>0</v>
      </c>
    </row>
    <row r="29" spans="1:26" x14ac:dyDescent="0.25">
      <c r="A29" s="1">
        <v>26</v>
      </c>
      <c r="B29" s="7">
        <v>202307048</v>
      </c>
      <c r="C29" s="1" t="s">
        <v>110</v>
      </c>
      <c r="D29" s="1" t="s">
        <v>111</v>
      </c>
      <c r="E29" s="1">
        <f>8200</f>
        <v>8200</v>
      </c>
      <c r="H29" s="1">
        <v>4100</v>
      </c>
      <c r="I29" s="1" t="s">
        <v>37</v>
      </c>
      <c r="N29" s="1">
        <v>1900</v>
      </c>
      <c r="O29" s="1" t="s">
        <v>65</v>
      </c>
      <c r="P29" s="1">
        <v>2200</v>
      </c>
      <c r="Q29" s="1" t="s">
        <v>68</v>
      </c>
      <c r="Y29" s="1">
        <f t="shared" si="0"/>
        <v>8200</v>
      </c>
      <c r="Z29" s="1">
        <f t="shared" si="1"/>
        <v>0</v>
      </c>
    </row>
    <row r="30" spans="1:26" x14ac:dyDescent="0.25">
      <c r="A30" s="1">
        <v>27</v>
      </c>
      <c r="B30" s="7">
        <v>202307051</v>
      </c>
      <c r="C30" s="1" t="s">
        <v>112</v>
      </c>
      <c r="D30" s="1" t="s">
        <v>113</v>
      </c>
      <c r="E30" s="1">
        <f>8200</f>
        <v>8200</v>
      </c>
      <c r="Y30" s="1">
        <f t="shared" si="0"/>
        <v>0</v>
      </c>
      <c r="Z30" s="1">
        <f t="shared" si="1"/>
        <v>8200</v>
      </c>
    </row>
    <row r="31" spans="1:26" x14ac:dyDescent="0.25">
      <c r="A31" s="1">
        <v>28</v>
      </c>
      <c r="B31" s="7">
        <v>202307053</v>
      </c>
      <c r="C31" s="1" t="s">
        <v>114</v>
      </c>
      <c r="D31" s="1" t="s">
        <v>115</v>
      </c>
      <c r="E31" s="1">
        <f>8200</f>
        <v>8200</v>
      </c>
      <c r="N31" s="1">
        <v>6000</v>
      </c>
      <c r="O31" s="1" t="s">
        <v>52</v>
      </c>
      <c r="P31" s="1">
        <v>1650</v>
      </c>
      <c r="Q31" s="1" t="s">
        <v>116</v>
      </c>
      <c r="R31" s="1">
        <v>550</v>
      </c>
      <c r="S31" s="1" t="s">
        <v>117</v>
      </c>
      <c r="Y31" s="1">
        <f t="shared" si="0"/>
        <v>8200</v>
      </c>
      <c r="Z31" s="1">
        <f t="shared" si="1"/>
        <v>0</v>
      </c>
    </row>
    <row r="32" spans="1:26" x14ac:dyDescent="0.25">
      <c r="A32" s="1">
        <v>29</v>
      </c>
      <c r="B32" s="7">
        <v>202307055</v>
      </c>
      <c r="C32" s="1" t="s">
        <v>118</v>
      </c>
      <c r="D32" s="1" t="s">
        <v>119</v>
      </c>
      <c r="E32" s="1">
        <f>8200</f>
        <v>8200</v>
      </c>
      <c r="H32" s="1">
        <v>4250</v>
      </c>
      <c r="I32" s="1" t="s">
        <v>37</v>
      </c>
      <c r="N32" s="1">
        <v>3300</v>
      </c>
      <c r="O32" s="1" t="s">
        <v>62</v>
      </c>
      <c r="P32" s="1">
        <v>650</v>
      </c>
      <c r="Q32" s="1" t="s">
        <v>53</v>
      </c>
      <c r="Y32" s="1">
        <f t="shared" si="0"/>
        <v>8200</v>
      </c>
      <c r="Z32" s="1">
        <f t="shared" si="1"/>
        <v>0</v>
      </c>
    </row>
    <row r="33" spans="1:26" x14ac:dyDescent="0.25">
      <c r="A33" s="1">
        <v>30</v>
      </c>
      <c r="B33" s="7">
        <v>202307054</v>
      </c>
      <c r="C33" s="1" t="s">
        <v>120</v>
      </c>
      <c r="D33" s="1" t="s">
        <v>121</v>
      </c>
      <c r="E33" s="1">
        <f>8200</f>
        <v>8200</v>
      </c>
      <c r="H33" s="1">
        <v>3400</v>
      </c>
      <c r="I33" s="1" t="s">
        <v>122</v>
      </c>
      <c r="L33" s="1">
        <v>600</v>
      </c>
      <c r="M33" s="1" t="s">
        <v>55</v>
      </c>
      <c r="N33" s="1">
        <v>2000</v>
      </c>
      <c r="O33" s="1" t="s">
        <v>80</v>
      </c>
      <c r="P33" s="1">
        <v>2000</v>
      </c>
      <c r="Q33" s="1" t="s">
        <v>34</v>
      </c>
      <c r="R33" s="1">
        <f>250-50</f>
        <v>200</v>
      </c>
      <c r="S33" s="1" t="s">
        <v>573</v>
      </c>
      <c r="Y33" s="1">
        <f t="shared" si="0"/>
        <v>8200</v>
      </c>
      <c r="Z33" s="1">
        <f t="shared" si="1"/>
        <v>0</v>
      </c>
    </row>
    <row r="34" spans="1:26" x14ac:dyDescent="0.25">
      <c r="A34" s="1">
        <v>31</v>
      </c>
      <c r="B34" s="7">
        <v>202307057</v>
      </c>
      <c r="C34" s="1" t="s">
        <v>123</v>
      </c>
      <c r="D34" s="1" t="s">
        <v>124</v>
      </c>
      <c r="E34" s="1">
        <f>8200</f>
        <v>8200</v>
      </c>
      <c r="F34" s="1">
        <v>4000</v>
      </c>
      <c r="G34" s="1" t="s">
        <v>31</v>
      </c>
      <c r="N34" s="1">
        <v>2000</v>
      </c>
      <c r="O34" s="1" t="s">
        <v>65</v>
      </c>
      <c r="R34" s="1">
        <v>2200</v>
      </c>
      <c r="S34" s="1" t="s">
        <v>575</v>
      </c>
      <c r="Y34" s="1">
        <f t="shared" si="0"/>
        <v>8200</v>
      </c>
      <c r="Z34" s="1">
        <f t="shared" si="1"/>
        <v>0</v>
      </c>
    </row>
    <row r="35" spans="1:26" x14ac:dyDescent="0.25">
      <c r="A35" s="1">
        <v>32</v>
      </c>
      <c r="B35" s="7">
        <v>202307058</v>
      </c>
      <c r="C35" s="1" t="s">
        <v>125</v>
      </c>
      <c r="D35" s="1" t="s">
        <v>126</v>
      </c>
      <c r="E35" s="1">
        <f>8200</f>
        <v>8200</v>
      </c>
      <c r="H35" s="1">
        <v>4100</v>
      </c>
      <c r="I35" s="1" t="s">
        <v>71</v>
      </c>
      <c r="L35" s="1">
        <v>1000</v>
      </c>
      <c r="M35" s="1" t="s">
        <v>103</v>
      </c>
      <c r="N35" s="1">
        <v>1000</v>
      </c>
      <c r="O35" s="1" t="s">
        <v>38</v>
      </c>
      <c r="P35" s="1">
        <v>1100</v>
      </c>
      <c r="Q35" s="1" t="s">
        <v>127</v>
      </c>
      <c r="R35" s="1">
        <v>900</v>
      </c>
      <c r="S35" s="1" t="s">
        <v>128</v>
      </c>
      <c r="T35" s="1">
        <v>100</v>
      </c>
      <c r="U35" s="1" t="s">
        <v>129</v>
      </c>
      <c r="Y35" s="1">
        <f t="shared" si="0"/>
        <v>8200</v>
      </c>
      <c r="Z35" s="1">
        <f t="shared" si="1"/>
        <v>0</v>
      </c>
    </row>
    <row r="36" spans="1:26" x14ac:dyDescent="0.25">
      <c r="A36" s="1">
        <v>33</v>
      </c>
      <c r="B36" s="7">
        <v>202307059</v>
      </c>
      <c r="C36" s="1" t="s">
        <v>130</v>
      </c>
      <c r="D36" s="1" t="s">
        <v>131</v>
      </c>
      <c r="E36" s="1">
        <f>8200</f>
        <v>8200</v>
      </c>
      <c r="N36" s="1">
        <v>3000</v>
      </c>
      <c r="O36" s="1" t="s">
        <v>78</v>
      </c>
      <c r="Y36" s="1">
        <f t="shared" si="0"/>
        <v>3000</v>
      </c>
      <c r="Z36" s="1">
        <f t="shared" si="1"/>
        <v>5200</v>
      </c>
    </row>
    <row r="37" spans="1:26" x14ac:dyDescent="0.25">
      <c r="A37" s="1">
        <v>34</v>
      </c>
      <c r="B37" s="7">
        <v>202307060</v>
      </c>
      <c r="C37" s="1" t="s">
        <v>132</v>
      </c>
      <c r="D37" s="1" t="s">
        <v>133</v>
      </c>
      <c r="E37" s="1">
        <f>8200</f>
        <v>8200</v>
      </c>
      <c r="H37" s="1">
        <v>4100</v>
      </c>
      <c r="I37" s="1" t="s">
        <v>50</v>
      </c>
      <c r="N37" s="1">
        <v>2050</v>
      </c>
      <c r="O37" s="1" t="s">
        <v>134</v>
      </c>
      <c r="P37" s="1">
        <v>2050</v>
      </c>
      <c r="Q37" s="1" t="s">
        <v>53</v>
      </c>
      <c r="Y37" s="1">
        <f t="shared" si="0"/>
        <v>8200</v>
      </c>
      <c r="Z37" s="1">
        <f t="shared" si="1"/>
        <v>0</v>
      </c>
    </row>
    <row r="38" spans="1:26" x14ac:dyDescent="0.25">
      <c r="A38" s="1">
        <v>35</v>
      </c>
      <c r="B38" s="7">
        <v>202307066</v>
      </c>
      <c r="C38" s="1" t="s">
        <v>135</v>
      </c>
      <c r="D38" s="1" t="s">
        <v>136</v>
      </c>
      <c r="E38" s="1">
        <f>8200</f>
        <v>8200</v>
      </c>
      <c r="L38" s="1">
        <v>2600</v>
      </c>
      <c r="M38" s="1" t="s">
        <v>72</v>
      </c>
      <c r="N38" s="1">
        <v>3500</v>
      </c>
      <c r="O38" s="1" t="s">
        <v>33</v>
      </c>
      <c r="P38" s="1">
        <v>2100</v>
      </c>
      <c r="Q38" s="1" t="s">
        <v>108</v>
      </c>
      <c r="Y38" s="1">
        <f t="shared" si="0"/>
        <v>8200</v>
      </c>
      <c r="Z38" s="1">
        <f t="shared" si="1"/>
        <v>0</v>
      </c>
    </row>
    <row r="39" spans="1:26" x14ac:dyDescent="0.25">
      <c r="A39" s="1">
        <v>36</v>
      </c>
      <c r="B39" s="7">
        <v>202307067</v>
      </c>
      <c r="C39" s="1" t="s">
        <v>307</v>
      </c>
      <c r="D39" s="1" t="s">
        <v>381</v>
      </c>
      <c r="E39" s="1">
        <v>0</v>
      </c>
      <c r="Y39" s="1">
        <f t="shared" si="0"/>
        <v>0</v>
      </c>
      <c r="Z39" s="1">
        <f t="shared" si="1"/>
        <v>0</v>
      </c>
    </row>
    <row r="40" spans="1:26" x14ac:dyDescent="0.25">
      <c r="A40" s="1">
        <v>37</v>
      </c>
      <c r="B40" s="7">
        <v>202307068</v>
      </c>
      <c r="C40" s="1" t="s">
        <v>137</v>
      </c>
      <c r="D40" s="1" t="s">
        <v>97</v>
      </c>
      <c r="E40" s="1">
        <v>8200</v>
      </c>
      <c r="P40" s="1">
        <v>3000</v>
      </c>
      <c r="Q40" s="1" t="s">
        <v>138</v>
      </c>
      <c r="R40" s="1">
        <v>4000</v>
      </c>
      <c r="S40" s="1" t="s">
        <v>139</v>
      </c>
      <c r="Y40" s="1">
        <f>SUM(F40+H40+J40+L40+N40+P40+R40+T40+V40)</f>
        <v>7000</v>
      </c>
      <c r="Z40" s="1">
        <f>E40-Y40</f>
        <v>1200</v>
      </c>
    </row>
    <row r="41" spans="1:26" x14ac:dyDescent="0.25">
      <c r="A41" s="1">
        <v>38</v>
      </c>
      <c r="B41" s="7">
        <v>202307070</v>
      </c>
      <c r="C41" s="1" t="s">
        <v>140</v>
      </c>
      <c r="D41" s="1" t="s">
        <v>141</v>
      </c>
      <c r="E41" s="1">
        <f>8200</f>
        <v>8200</v>
      </c>
      <c r="H41" s="1">
        <v>4100</v>
      </c>
      <c r="I41" s="1" t="s">
        <v>61</v>
      </c>
      <c r="N41" s="1">
        <v>4100</v>
      </c>
      <c r="O41" s="1" t="s">
        <v>33</v>
      </c>
      <c r="Y41" s="1">
        <f>SUM(F41+H41+J41+L41+N41+P41+R41+T41+V41)</f>
        <v>8200</v>
      </c>
      <c r="Z41" s="1">
        <f>E41-Y41</f>
        <v>0</v>
      </c>
    </row>
    <row r="42" spans="1:26" x14ac:dyDescent="0.25">
      <c r="A42" s="1">
        <v>39</v>
      </c>
      <c r="B42" s="7">
        <v>202307071</v>
      </c>
      <c r="C42" s="1" t="s">
        <v>579</v>
      </c>
      <c r="D42" s="1" t="s">
        <v>47</v>
      </c>
      <c r="E42" s="1">
        <v>0</v>
      </c>
      <c r="Y42" s="1">
        <f>SUM(F42+H42+J42+L42+N42+P42+R42+T42+V42)</f>
        <v>0</v>
      </c>
      <c r="Z42" s="1">
        <f>E42-Y42</f>
        <v>0</v>
      </c>
    </row>
    <row r="43" spans="1:26" x14ac:dyDescent="0.25">
      <c r="A43" s="1">
        <v>40</v>
      </c>
      <c r="B43" s="7">
        <v>202307072</v>
      </c>
      <c r="C43" s="1" t="s">
        <v>142</v>
      </c>
      <c r="D43" s="1" t="s">
        <v>143</v>
      </c>
      <c r="E43" s="1">
        <f>8200</f>
        <v>8200</v>
      </c>
      <c r="F43" s="1">
        <v>4100</v>
      </c>
      <c r="G43" s="1" t="s">
        <v>20</v>
      </c>
      <c r="H43" s="1">
        <v>2000</v>
      </c>
      <c r="I43" s="1" t="s">
        <v>144</v>
      </c>
      <c r="J43" s="1">
        <v>800</v>
      </c>
      <c r="K43" s="1" t="s">
        <v>145</v>
      </c>
      <c r="L43" s="1">
        <v>200</v>
      </c>
      <c r="M43" s="1" t="s">
        <v>146</v>
      </c>
      <c r="N43" s="1">
        <v>1100</v>
      </c>
      <c r="O43" s="1" t="s">
        <v>34</v>
      </c>
      <c r="Y43" s="1">
        <f t="shared" si="0"/>
        <v>8200</v>
      </c>
      <c r="Z43" s="1">
        <f t="shared" si="1"/>
        <v>0</v>
      </c>
    </row>
    <row r="44" spans="1:26" x14ac:dyDescent="0.25">
      <c r="A44" s="1">
        <v>41</v>
      </c>
      <c r="B44" s="7">
        <v>202307073</v>
      </c>
      <c r="C44" s="1" t="s">
        <v>147</v>
      </c>
      <c r="D44" s="1" t="s">
        <v>119</v>
      </c>
      <c r="E44" s="1">
        <f>8200</f>
        <v>8200</v>
      </c>
      <c r="F44" s="1">
        <v>2500</v>
      </c>
      <c r="G44" s="1" t="s">
        <v>71</v>
      </c>
      <c r="H44" s="1">
        <v>1600</v>
      </c>
      <c r="I44" s="1" t="s">
        <v>51</v>
      </c>
      <c r="N44" s="1">
        <v>3000</v>
      </c>
      <c r="O44" s="1" t="s">
        <v>65</v>
      </c>
      <c r="P44" s="1">
        <v>1100</v>
      </c>
      <c r="Q44" s="1" t="s">
        <v>25</v>
      </c>
      <c r="Y44" s="1">
        <f t="shared" si="0"/>
        <v>8200</v>
      </c>
      <c r="Z44" s="1">
        <f t="shared" si="1"/>
        <v>0</v>
      </c>
    </row>
    <row r="45" spans="1:26" x14ac:dyDescent="0.25">
      <c r="A45" s="67">
        <v>42</v>
      </c>
      <c r="B45" s="68">
        <v>202307074</v>
      </c>
      <c r="C45" s="67" t="s">
        <v>148</v>
      </c>
      <c r="D45" s="67" t="s">
        <v>149</v>
      </c>
      <c r="E45" s="67">
        <f>8200</f>
        <v>8200</v>
      </c>
      <c r="F45" s="67"/>
      <c r="G45" s="67"/>
      <c r="H45" s="67">
        <v>4000</v>
      </c>
      <c r="I45" s="67" t="s">
        <v>150</v>
      </c>
      <c r="J45" s="67"/>
      <c r="K45" s="67"/>
      <c r="L45" s="67"/>
      <c r="M45" s="67"/>
      <c r="N45" s="67"/>
      <c r="O45" s="67"/>
      <c r="P45" s="67"/>
      <c r="Q45" s="67"/>
      <c r="R45" s="67"/>
      <c r="S45" s="67"/>
      <c r="T45" s="67"/>
      <c r="U45" s="67"/>
      <c r="V45" s="67"/>
      <c r="W45" s="67"/>
      <c r="X45" s="67"/>
      <c r="Y45" s="67">
        <f t="shared" si="0"/>
        <v>4000</v>
      </c>
      <c r="Z45" s="67">
        <f t="shared" si="1"/>
        <v>4200</v>
      </c>
    </row>
    <row r="46" spans="1:26" x14ac:dyDescent="0.25">
      <c r="B46" s="7"/>
      <c r="E46" s="8">
        <f>SUM(E4:E45)</f>
        <v>311800</v>
      </c>
      <c r="Y46" s="8">
        <f>SUM(Y4:Y45)</f>
        <v>284900</v>
      </c>
      <c r="Z46" s="8">
        <f>SUM(Z4:Z45)</f>
        <v>26900</v>
      </c>
    </row>
    <row r="47" spans="1:26" x14ac:dyDescent="0.25">
      <c r="B47" s="7"/>
      <c r="F47" s="8">
        <f>SUM(F4:F46)</f>
        <v>42600</v>
      </c>
      <c r="H47" s="8">
        <f>SUM(H4:H46)</f>
        <v>96950</v>
      </c>
      <c r="J47" s="8">
        <f>SUM(J4:J46)</f>
        <v>6700</v>
      </c>
      <c r="L47" s="8">
        <f>SUM(L4:L46)</f>
        <v>18830</v>
      </c>
      <c r="N47" s="8">
        <f>SUM(N4:N46)</f>
        <v>67000</v>
      </c>
      <c r="Y47" s="9">
        <f>F47+H47+J47+L47+N47</f>
        <v>232080</v>
      </c>
    </row>
    <row r="51" spans="2:2" x14ac:dyDescent="0.25">
      <c r="B51" s="7"/>
    </row>
    <row r="52" spans="2:2" x14ac:dyDescent="0.25">
      <c r="B52" s="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41E1-762C-401F-B683-4A4AF9D6734A}">
  <dimension ref="A1:AB57"/>
  <sheetViews>
    <sheetView topLeftCell="A22" workbookViewId="0">
      <selection activeCell="C44" sqref="C44"/>
    </sheetView>
  </sheetViews>
  <sheetFormatPr defaultColWidth="9" defaultRowHeight="18.75" x14ac:dyDescent="0.3"/>
  <cols>
    <col min="2" max="2" width="18.5703125" style="12" customWidth="1"/>
    <col min="3" max="3" width="14.85546875" style="12" customWidth="1"/>
    <col min="4" max="4" width="18.42578125" style="12" customWidth="1"/>
    <col min="5" max="5" width="16" style="12" bestFit="1" customWidth="1"/>
    <col min="6" max="6" width="13.140625" style="12" customWidth="1"/>
    <col min="7" max="7" width="8.85546875" style="12" customWidth="1"/>
    <col min="8" max="8" width="12.42578125" style="12" customWidth="1"/>
    <col min="9" max="9" width="7.85546875" customWidth="1"/>
    <col min="10" max="10" width="12.42578125" customWidth="1"/>
    <col min="11" max="11" width="12.7109375" bestFit="1" customWidth="1"/>
    <col min="12" max="12" width="11.28515625" customWidth="1"/>
    <col min="13" max="13" width="10.140625" customWidth="1"/>
    <col min="14" max="14" width="10.5703125" bestFit="1" customWidth="1"/>
    <col min="16" max="16" width="13.85546875" customWidth="1"/>
    <col min="26" max="26" width="8.42578125" customWidth="1"/>
    <col min="27" max="27" width="17.7109375" customWidth="1"/>
    <col min="28" max="28" width="17.28515625" customWidth="1"/>
  </cols>
  <sheetData>
    <row r="1" spans="1:28" ht="22.5" x14ac:dyDescent="0.45">
      <c r="B1" s="10"/>
      <c r="C1" s="11" t="s">
        <v>0</v>
      </c>
      <c r="I1" s="12"/>
    </row>
    <row r="2" spans="1:28" ht="22.5" x14ac:dyDescent="0.45">
      <c r="C2" s="13" t="s">
        <v>151</v>
      </c>
      <c r="D2" s="14"/>
      <c r="E2" s="15"/>
      <c r="F2" s="16"/>
      <c r="I2" s="10"/>
      <c r="J2" s="10" t="s">
        <v>152</v>
      </c>
      <c r="K2" s="10"/>
    </row>
    <row r="3" spans="1:28" ht="15.75" x14ac:dyDescent="0.25">
      <c r="B3" s="17" t="s">
        <v>2</v>
      </c>
      <c r="C3" s="17" t="s">
        <v>3</v>
      </c>
      <c r="D3" s="17" t="s">
        <v>4</v>
      </c>
      <c r="E3" s="17" t="s">
        <v>5</v>
      </c>
      <c r="F3" s="17" t="s">
        <v>6</v>
      </c>
      <c r="G3" s="17"/>
      <c r="H3" s="17" t="s">
        <v>7</v>
      </c>
      <c r="J3" s="17" t="s">
        <v>8</v>
      </c>
      <c r="L3" s="18" t="s">
        <v>9</v>
      </c>
      <c r="N3" s="18" t="s">
        <v>10</v>
      </c>
      <c r="P3" s="18" t="s">
        <v>11</v>
      </c>
      <c r="R3" s="18" t="s">
        <v>12</v>
      </c>
      <c r="Z3" s="19"/>
      <c r="AA3" s="17" t="s">
        <v>13</v>
      </c>
      <c r="AB3" s="17" t="s">
        <v>14</v>
      </c>
    </row>
    <row r="4" spans="1:28" x14ac:dyDescent="0.3">
      <c r="A4">
        <v>1</v>
      </c>
      <c r="B4" s="12">
        <v>202401001</v>
      </c>
      <c r="C4" s="12" t="s">
        <v>153</v>
      </c>
      <c r="D4" s="12" t="s">
        <v>154</v>
      </c>
      <c r="E4">
        <f>8200</f>
        <v>8200</v>
      </c>
      <c r="F4"/>
      <c r="G4"/>
      <c r="H4">
        <v>4100</v>
      </c>
      <c r="I4" t="s">
        <v>55</v>
      </c>
      <c r="N4">
        <v>3000</v>
      </c>
      <c r="O4" t="s">
        <v>155</v>
      </c>
      <c r="P4">
        <v>1000</v>
      </c>
      <c r="Q4" t="s">
        <v>156</v>
      </c>
      <c r="R4">
        <v>100</v>
      </c>
      <c r="S4" t="s">
        <v>34</v>
      </c>
      <c r="AA4">
        <f>F4+H4+J4+L4+N4+P4+R4+T4+V4</f>
        <v>8200</v>
      </c>
      <c r="AB4">
        <f t="shared" ref="AB4:AB44" si="0">E4-AA4</f>
        <v>0</v>
      </c>
    </row>
    <row r="5" spans="1:28" x14ac:dyDescent="0.3">
      <c r="A5">
        <v>2</v>
      </c>
      <c r="B5" s="12">
        <v>202401002</v>
      </c>
      <c r="C5" s="12" t="s">
        <v>157</v>
      </c>
      <c r="D5" s="12" t="s">
        <v>158</v>
      </c>
      <c r="E5">
        <f>8200</f>
        <v>8200</v>
      </c>
      <c r="F5"/>
      <c r="G5"/>
      <c r="H5">
        <v>4000</v>
      </c>
      <c r="I5" t="s">
        <v>37</v>
      </c>
      <c r="N5">
        <v>2000</v>
      </c>
      <c r="O5" t="s">
        <v>65</v>
      </c>
      <c r="R5">
        <v>2200</v>
      </c>
      <c r="S5" t="s">
        <v>159</v>
      </c>
      <c r="AA5">
        <f t="shared" ref="AA5:AA42" si="1">F5+H5+J5+L5+N5+P5+R5+T5+V5</f>
        <v>8200</v>
      </c>
      <c r="AB5">
        <f t="shared" si="0"/>
        <v>0</v>
      </c>
    </row>
    <row r="6" spans="1:28" x14ac:dyDescent="0.3">
      <c r="A6">
        <v>3</v>
      </c>
      <c r="B6" s="12">
        <v>202401004</v>
      </c>
      <c r="C6" s="12" t="s">
        <v>160</v>
      </c>
      <c r="D6" s="12" t="s">
        <v>60</v>
      </c>
      <c r="E6">
        <f>8200</f>
        <v>8200</v>
      </c>
      <c r="F6"/>
      <c r="G6"/>
      <c r="H6">
        <v>4000</v>
      </c>
      <c r="I6" t="s">
        <v>43</v>
      </c>
      <c r="N6">
        <v>2000</v>
      </c>
      <c r="O6" t="s">
        <v>72</v>
      </c>
      <c r="P6">
        <v>2000</v>
      </c>
      <c r="Q6" t="s">
        <v>53</v>
      </c>
      <c r="R6">
        <v>200</v>
      </c>
      <c r="S6" t="s">
        <v>78</v>
      </c>
      <c r="AA6">
        <f t="shared" si="1"/>
        <v>8200</v>
      </c>
      <c r="AB6">
        <f t="shared" si="0"/>
        <v>0</v>
      </c>
    </row>
    <row r="7" spans="1:28" x14ac:dyDescent="0.3">
      <c r="A7">
        <v>4</v>
      </c>
      <c r="B7" s="12">
        <v>202401005</v>
      </c>
      <c r="C7" s="12" t="s">
        <v>161</v>
      </c>
      <c r="D7" s="12" t="s">
        <v>162</v>
      </c>
      <c r="E7">
        <f>8200</f>
        <v>8200</v>
      </c>
      <c r="F7"/>
      <c r="G7"/>
      <c r="H7">
        <v>5000</v>
      </c>
      <c r="I7" t="s">
        <v>43</v>
      </c>
      <c r="N7">
        <v>2000</v>
      </c>
      <c r="O7" t="s">
        <v>163</v>
      </c>
      <c r="P7">
        <v>1200</v>
      </c>
      <c r="Q7" t="s">
        <v>164</v>
      </c>
      <c r="AA7">
        <f t="shared" si="1"/>
        <v>8200</v>
      </c>
      <c r="AB7">
        <f t="shared" si="0"/>
        <v>0</v>
      </c>
    </row>
    <row r="8" spans="1:28" x14ac:dyDescent="0.3">
      <c r="A8">
        <v>5</v>
      </c>
      <c r="B8" s="12">
        <v>202401006</v>
      </c>
      <c r="C8" s="12" t="s">
        <v>165</v>
      </c>
      <c r="D8" s="12" t="s">
        <v>166</v>
      </c>
      <c r="E8">
        <f>8200</f>
        <v>8200</v>
      </c>
      <c r="F8"/>
      <c r="G8"/>
      <c r="H8">
        <v>4000</v>
      </c>
      <c r="I8" t="s">
        <v>167</v>
      </c>
      <c r="P8">
        <v>2500</v>
      </c>
      <c r="Q8" t="s">
        <v>168</v>
      </c>
      <c r="R8">
        <f>2100-400</f>
        <v>1700</v>
      </c>
      <c r="S8" t="s">
        <v>82</v>
      </c>
      <c r="AA8">
        <f t="shared" si="1"/>
        <v>8200</v>
      </c>
      <c r="AB8">
        <f t="shared" si="0"/>
        <v>0</v>
      </c>
    </row>
    <row r="9" spans="1:28" x14ac:dyDescent="0.3">
      <c r="A9">
        <v>6</v>
      </c>
      <c r="B9" s="12">
        <v>202401007</v>
      </c>
      <c r="C9" s="12" t="s">
        <v>169</v>
      </c>
      <c r="D9" s="12" t="s">
        <v>49</v>
      </c>
      <c r="E9">
        <f>8200</f>
        <v>8200</v>
      </c>
      <c r="F9"/>
      <c r="G9"/>
      <c r="H9">
        <v>4100</v>
      </c>
      <c r="I9" t="s">
        <v>37</v>
      </c>
      <c r="N9">
        <v>2100</v>
      </c>
      <c r="O9" t="s">
        <v>134</v>
      </c>
      <c r="P9">
        <v>1000</v>
      </c>
      <c r="Q9" t="s">
        <v>53</v>
      </c>
      <c r="R9">
        <v>500</v>
      </c>
      <c r="S9" t="s">
        <v>53</v>
      </c>
      <c r="T9">
        <v>500</v>
      </c>
      <c r="U9" t="s">
        <v>108</v>
      </c>
      <c r="AA9">
        <f t="shared" si="1"/>
        <v>8200</v>
      </c>
      <c r="AB9">
        <f t="shared" si="0"/>
        <v>0</v>
      </c>
    </row>
    <row r="10" spans="1:28" x14ac:dyDescent="0.3">
      <c r="A10">
        <v>7</v>
      </c>
      <c r="B10" s="12">
        <v>202401009</v>
      </c>
      <c r="C10" s="12" t="s">
        <v>147</v>
      </c>
      <c r="D10" s="12" t="s">
        <v>170</v>
      </c>
      <c r="E10">
        <f>8200</f>
        <v>8200</v>
      </c>
      <c r="F10"/>
      <c r="G10"/>
      <c r="H10">
        <v>1000</v>
      </c>
      <c r="I10" t="s">
        <v>171</v>
      </c>
      <c r="N10">
        <v>500</v>
      </c>
      <c r="O10" t="s">
        <v>172</v>
      </c>
      <c r="P10">
        <v>4000</v>
      </c>
      <c r="Q10" t="s">
        <v>95</v>
      </c>
      <c r="T10">
        <v>2700</v>
      </c>
      <c r="U10" t="s">
        <v>173</v>
      </c>
      <c r="AA10">
        <f t="shared" si="1"/>
        <v>8200</v>
      </c>
      <c r="AB10">
        <f t="shared" si="0"/>
        <v>0</v>
      </c>
    </row>
    <row r="11" spans="1:28" ht="22.5" customHeight="1" x14ac:dyDescent="0.3">
      <c r="A11">
        <v>8</v>
      </c>
      <c r="B11" s="63">
        <v>202401010</v>
      </c>
      <c r="C11" s="63" t="s">
        <v>174</v>
      </c>
      <c r="D11" s="63" t="s">
        <v>98</v>
      </c>
      <c r="E11" s="64">
        <f>8200</f>
        <v>8200</v>
      </c>
      <c r="F11" s="64"/>
      <c r="G11" s="64"/>
      <c r="H11" s="64"/>
      <c r="I11" s="64"/>
      <c r="J11" s="64">
        <v>4000</v>
      </c>
      <c r="K11" s="64" t="s">
        <v>175</v>
      </c>
      <c r="L11" s="64"/>
      <c r="M11" s="64"/>
      <c r="N11" s="64">
        <v>2000</v>
      </c>
      <c r="O11" s="64" t="s">
        <v>62</v>
      </c>
      <c r="P11" s="64">
        <v>2200</v>
      </c>
      <c r="Q11" s="64" t="s">
        <v>39</v>
      </c>
      <c r="R11" s="64"/>
      <c r="S11" s="64"/>
      <c r="T11" s="64"/>
      <c r="U11" s="64"/>
      <c r="V11" s="64"/>
      <c r="W11" s="64"/>
      <c r="X11" s="64"/>
      <c r="Y11" s="64"/>
      <c r="Z11" s="64"/>
      <c r="AA11" s="64">
        <f t="shared" si="1"/>
        <v>8200</v>
      </c>
      <c r="AB11" s="64">
        <f t="shared" si="0"/>
        <v>0</v>
      </c>
    </row>
    <row r="12" spans="1:28" x14ac:dyDescent="0.3">
      <c r="A12">
        <v>9</v>
      </c>
      <c r="B12" s="12">
        <v>202401011</v>
      </c>
      <c r="C12" s="12" t="s">
        <v>176</v>
      </c>
      <c r="D12" s="12" t="s">
        <v>177</v>
      </c>
      <c r="E12">
        <f>8200</f>
        <v>8200</v>
      </c>
      <c r="F12"/>
      <c r="G12"/>
      <c r="H12">
        <v>4500</v>
      </c>
      <c r="I12" t="s">
        <v>178</v>
      </c>
      <c r="N12">
        <v>2000</v>
      </c>
      <c r="O12" t="s">
        <v>72</v>
      </c>
      <c r="P12">
        <v>1000</v>
      </c>
      <c r="Q12" t="s">
        <v>179</v>
      </c>
      <c r="R12">
        <v>700</v>
      </c>
      <c r="S12" t="s">
        <v>164</v>
      </c>
      <c r="AA12">
        <f>F12+H12+J12+L12+N12+P12+R12+T12+V12</f>
        <v>8200</v>
      </c>
      <c r="AB12">
        <f t="shared" si="0"/>
        <v>0</v>
      </c>
    </row>
    <row r="13" spans="1:28" x14ac:dyDescent="0.3">
      <c r="A13">
        <v>10</v>
      </c>
      <c r="B13" s="12">
        <v>202401012</v>
      </c>
      <c r="C13" s="12" t="s">
        <v>180</v>
      </c>
      <c r="D13" s="12" t="s">
        <v>181</v>
      </c>
      <c r="E13">
        <f>8200</f>
        <v>8200</v>
      </c>
      <c r="F13"/>
      <c r="G13"/>
      <c r="H13">
        <v>5000</v>
      </c>
      <c r="I13" t="s">
        <v>182</v>
      </c>
      <c r="N13">
        <v>1150</v>
      </c>
      <c r="O13" t="s">
        <v>183</v>
      </c>
      <c r="P13">
        <v>2050</v>
      </c>
      <c r="Q13" t="s">
        <v>95</v>
      </c>
      <c r="AA13">
        <f t="shared" si="1"/>
        <v>8200</v>
      </c>
      <c r="AB13">
        <f t="shared" si="0"/>
        <v>0</v>
      </c>
    </row>
    <row r="14" spans="1:28" x14ac:dyDescent="0.3">
      <c r="A14">
        <v>11</v>
      </c>
      <c r="B14" s="12">
        <v>202401015</v>
      </c>
      <c r="C14" s="12" t="s">
        <v>184</v>
      </c>
      <c r="D14" s="12" t="s">
        <v>185</v>
      </c>
      <c r="E14">
        <f>8200</f>
        <v>8200</v>
      </c>
      <c r="F14"/>
      <c r="G14"/>
      <c r="H14">
        <v>4500</v>
      </c>
      <c r="I14" t="s">
        <v>99</v>
      </c>
      <c r="J14">
        <v>1500</v>
      </c>
      <c r="K14" t="s">
        <v>186</v>
      </c>
      <c r="R14">
        <v>2200</v>
      </c>
      <c r="S14" t="s">
        <v>34</v>
      </c>
      <c r="AA14">
        <f t="shared" si="1"/>
        <v>8200</v>
      </c>
      <c r="AB14">
        <f t="shared" si="0"/>
        <v>0</v>
      </c>
    </row>
    <row r="15" spans="1:28" x14ac:dyDescent="0.3">
      <c r="A15">
        <v>12</v>
      </c>
      <c r="B15" s="12">
        <v>202401016</v>
      </c>
      <c r="C15" s="12" t="s">
        <v>187</v>
      </c>
      <c r="D15" s="12" t="s">
        <v>188</v>
      </c>
      <c r="E15">
        <f>8200</f>
        <v>8200</v>
      </c>
      <c r="F15"/>
      <c r="G15"/>
      <c r="H15">
        <v>4000</v>
      </c>
      <c r="I15" t="s">
        <v>122</v>
      </c>
      <c r="L15">
        <v>1000</v>
      </c>
      <c r="M15" t="s">
        <v>189</v>
      </c>
      <c r="N15">
        <v>1000</v>
      </c>
      <c r="O15" t="s">
        <v>65</v>
      </c>
      <c r="P15">
        <v>1500</v>
      </c>
      <c r="Q15" t="s">
        <v>116</v>
      </c>
      <c r="R15">
        <v>500</v>
      </c>
      <c r="S15" t="s">
        <v>190</v>
      </c>
      <c r="T15">
        <v>200</v>
      </c>
      <c r="U15" t="s">
        <v>164</v>
      </c>
      <c r="AA15">
        <f>F15+H15+J15+L15+N15+P15+R15+T15+V15</f>
        <v>8200</v>
      </c>
      <c r="AB15">
        <f t="shared" si="0"/>
        <v>0</v>
      </c>
    </row>
    <row r="16" spans="1:28" x14ac:dyDescent="0.3">
      <c r="A16">
        <v>13</v>
      </c>
      <c r="B16" s="12">
        <v>202401017</v>
      </c>
      <c r="C16" s="12" t="s">
        <v>191</v>
      </c>
      <c r="D16" s="12" t="s">
        <v>192</v>
      </c>
      <c r="E16">
        <f>8200</f>
        <v>8200</v>
      </c>
      <c r="F16">
        <v>6000</v>
      </c>
      <c r="G16"/>
      <c r="H16"/>
      <c r="L16">
        <v>2000</v>
      </c>
      <c r="M16" t="s">
        <v>193</v>
      </c>
      <c r="T16">
        <v>200</v>
      </c>
      <c r="U16" t="s">
        <v>95</v>
      </c>
      <c r="AA16">
        <f t="shared" si="1"/>
        <v>8200</v>
      </c>
      <c r="AB16">
        <f t="shared" si="0"/>
        <v>0</v>
      </c>
    </row>
    <row r="17" spans="1:28" x14ac:dyDescent="0.3">
      <c r="A17">
        <v>14</v>
      </c>
      <c r="B17" s="12">
        <v>202401018</v>
      </c>
      <c r="C17" s="12" t="s">
        <v>194</v>
      </c>
      <c r="D17" s="12" t="s">
        <v>195</v>
      </c>
      <c r="E17">
        <f>8200</f>
        <v>8200</v>
      </c>
      <c r="F17">
        <v>3200</v>
      </c>
      <c r="G17" t="s">
        <v>61</v>
      </c>
      <c r="H17">
        <v>800</v>
      </c>
      <c r="I17" t="s">
        <v>61</v>
      </c>
      <c r="N17">
        <v>2050</v>
      </c>
      <c r="O17" t="s">
        <v>33</v>
      </c>
      <c r="R17">
        <v>2150</v>
      </c>
      <c r="S17" t="s">
        <v>567</v>
      </c>
      <c r="AA17">
        <f t="shared" si="1"/>
        <v>8200</v>
      </c>
      <c r="AB17">
        <f t="shared" si="0"/>
        <v>0</v>
      </c>
    </row>
    <row r="18" spans="1:28" x14ac:dyDescent="0.3">
      <c r="A18">
        <v>15</v>
      </c>
      <c r="B18" s="12">
        <v>202401019</v>
      </c>
      <c r="C18" s="12" t="s">
        <v>196</v>
      </c>
      <c r="D18" s="12" t="s">
        <v>197</v>
      </c>
      <c r="E18">
        <f>8200</f>
        <v>8200</v>
      </c>
      <c r="F18">
        <v>3000</v>
      </c>
      <c r="G18" t="s">
        <v>37</v>
      </c>
      <c r="H18">
        <v>1000</v>
      </c>
      <c r="I18" t="s">
        <v>23</v>
      </c>
      <c r="N18">
        <v>2000</v>
      </c>
      <c r="O18" t="s">
        <v>33</v>
      </c>
      <c r="P18">
        <v>2000</v>
      </c>
      <c r="Q18" t="s">
        <v>95</v>
      </c>
      <c r="R18">
        <f>700-500</f>
        <v>200</v>
      </c>
      <c r="S18" t="s">
        <v>568</v>
      </c>
      <c r="AA18">
        <f>F18+H18+J18+L18+N18+P18+R18+T18+V18</f>
        <v>8200</v>
      </c>
      <c r="AB18">
        <f t="shared" si="0"/>
        <v>0</v>
      </c>
    </row>
    <row r="19" spans="1:28" x14ac:dyDescent="0.3">
      <c r="A19">
        <v>16</v>
      </c>
      <c r="B19" s="63">
        <v>202401020</v>
      </c>
      <c r="C19" s="63" t="s">
        <v>576</v>
      </c>
      <c r="D19" s="63" t="s">
        <v>113</v>
      </c>
      <c r="E19" s="64">
        <f>8200</f>
        <v>8200</v>
      </c>
      <c r="F19" s="64">
        <v>4000</v>
      </c>
      <c r="G19" s="64" t="s">
        <v>23</v>
      </c>
      <c r="H19" s="64"/>
      <c r="I19" s="64"/>
      <c r="J19" s="64"/>
      <c r="K19" s="64"/>
      <c r="L19" s="64"/>
      <c r="M19" s="64"/>
      <c r="N19" s="64"/>
      <c r="O19" s="64"/>
      <c r="P19" s="64"/>
      <c r="Q19" s="64"/>
      <c r="R19" s="64"/>
      <c r="S19" s="64"/>
      <c r="T19" s="64"/>
      <c r="U19" s="64"/>
      <c r="V19" s="64"/>
      <c r="W19" s="64"/>
      <c r="X19" s="64"/>
      <c r="Y19" s="64"/>
      <c r="Z19" s="64"/>
      <c r="AA19" s="64">
        <f>F19+H19+J19+L19+N19+P19+R19+T19+V19</f>
        <v>4000</v>
      </c>
      <c r="AB19" s="64">
        <f t="shared" si="0"/>
        <v>4200</v>
      </c>
    </row>
    <row r="20" spans="1:28" x14ac:dyDescent="0.3">
      <c r="A20">
        <v>17</v>
      </c>
      <c r="B20" s="12">
        <v>202401022</v>
      </c>
      <c r="C20" s="12" t="s">
        <v>198</v>
      </c>
      <c r="D20" s="12" t="s">
        <v>141</v>
      </c>
      <c r="E20">
        <f>8200</f>
        <v>8200</v>
      </c>
      <c r="F20"/>
      <c r="G20"/>
      <c r="H20">
        <v>5500</v>
      </c>
      <c r="I20" t="s">
        <v>23</v>
      </c>
      <c r="N20">
        <v>1000</v>
      </c>
      <c r="O20" t="s">
        <v>62</v>
      </c>
      <c r="P20">
        <v>1500</v>
      </c>
      <c r="Q20" t="s">
        <v>190</v>
      </c>
      <c r="R20">
        <v>200</v>
      </c>
      <c r="S20" t="s">
        <v>138</v>
      </c>
      <c r="AA20">
        <f t="shared" si="1"/>
        <v>8200</v>
      </c>
      <c r="AB20">
        <f t="shared" si="0"/>
        <v>0</v>
      </c>
    </row>
    <row r="21" spans="1:28" x14ac:dyDescent="0.3">
      <c r="A21">
        <v>18</v>
      </c>
      <c r="B21" s="12">
        <v>202401023</v>
      </c>
      <c r="C21" s="12" t="s">
        <v>199</v>
      </c>
      <c r="D21" s="12" t="s">
        <v>200</v>
      </c>
      <c r="E21">
        <f>8200</f>
        <v>8200</v>
      </c>
      <c r="F21"/>
      <c r="G21"/>
      <c r="H21">
        <v>3750</v>
      </c>
      <c r="I21" t="s">
        <v>150</v>
      </c>
      <c r="N21" s="20">
        <v>2000</v>
      </c>
      <c r="O21" t="s">
        <v>65</v>
      </c>
      <c r="R21">
        <f>6000-3550</f>
        <v>2450</v>
      </c>
      <c r="S21" t="s">
        <v>201</v>
      </c>
      <c r="AA21">
        <f>F21+H21+J21+L21+N21+P21+R21+T21+V2</f>
        <v>8200</v>
      </c>
      <c r="AB21">
        <f t="shared" si="0"/>
        <v>0</v>
      </c>
    </row>
    <row r="22" spans="1:28" x14ac:dyDescent="0.3">
      <c r="A22">
        <v>19</v>
      </c>
      <c r="B22" s="12">
        <v>202401027</v>
      </c>
      <c r="C22" s="12" t="s">
        <v>202</v>
      </c>
      <c r="D22" s="12" t="s">
        <v>154</v>
      </c>
      <c r="E22">
        <f>8200</f>
        <v>8200</v>
      </c>
      <c r="F22"/>
      <c r="G22"/>
      <c r="H22"/>
      <c r="J22">
        <v>4000</v>
      </c>
      <c r="K22" t="s">
        <v>107</v>
      </c>
      <c r="N22">
        <v>1800</v>
      </c>
      <c r="O22" t="s">
        <v>52</v>
      </c>
      <c r="P22">
        <v>1600</v>
      </c>
      <c r="Q22" t="s">
        <v>39</v>
      </c>
      <c r="R22">
        <v>400</v>
      </c>
      <c r="S22" t="s">
        <v>159</v>
      </c>
      <c r="T22">
        <v>300</v>
      </c>
      <c r="U22" t="s">
        <v>203</v>
      </c>
      <c r="AA22">
        <f t="shared" si="1"/>
        <v>8100</v>
      </c>
      <c r="AB22">
        <f t="shared" si="0"/>
        <v>100</v>
      </c>
    </row>
    <row r="23" spans="1:28" x14ac:dyDescent="0.3">
      <c r="A23">
        <v>20</v>
      </c>
      <c r="B23" s="63">
        <v>202401028</v>
      </c>
      <c r="C23" s="63" t="s">
        <v>204</v>
      </c>
      <c r="D23" s="63" t="s">
        <v>205</v>
      </c>
      <c r="E23" s="64">
        <f>8200</f>
        <v>8200</v>
      </c>
      <c r="F23" s="64"/>
      <c r="G23" s="64"/>
      <c r="H23" s="64"/>
      <c r="I23" s="64"/>
      <c r="J23" s="64"/>
      <c r="K23" s="64"/>
      <c r="L23" s="64"/>
      <c r="M23" s="64"/>
      <c r="N23" s="64"/>
      <c r="O23" s="64"/>
      <c r="P23" s="64"/>
      <c r="Q23" s="64"/>
      <c r="R23" s="64"/>
      <c r="S23" s="64"/>
      <c r="T23" s="64"/>
      <c r="U23" s="64"/>
      <c r="V23" s="64"/>
      <c r="W23" s="64"/>
      <c r="X23" s="64"/>
      <c r="Y23" s="64"/>
      <c r="Z23" s="64"/>
      <c r="AA23" s="64">
        <f t="shared" si="1"/>
        <v>0</v>
      </c>
      <c r="AB23" s="64">
        <f t="shared" si="0"/>
        <v>8200</v>
      </c>
    </row>
    <row r="24" spans="1:28" x14ac:dyDescent="0.3">
      <c r="A24">
        <v>21</v>
      </c>
      <c r="B24" s="12">
        <v>202401030</v>
      </c>
      <c r="C24" s="12" t="s">
        <v>206</v>
      </c>
      <c r="D24" s="12" t="s">
        <v>207</v>
      </c>
      <c r="E24">
        <f>8200</f>
        <v>8200</v>
      </c>
      <c r="F24"/>
      <c r="G24"/>
      <c r="H24">
        <v>4000</v>
      </c>
      <c r="I24" t="s">
        <v>43</v>
      </c>
      <c r="J24">
        <v>500</v>
      </c>
      <c r="K24" t="s">
        <v>43</v>
      </c>
      <c r="N24">
        <v>1000</v>
      </c>
      <c r="O24" t="s">
        <v>172</v>
      </c>
      <c r="P24">
        <v>1000</v>
      </c>
      <c r="Q24" t="s">
        <v>33</v>
      </c>
      <c r="R24">
        <v>1450</v>
      </c>
      <c r="S24" t="s">
        <v>208</v>
      </c>
      <c r="T24">
        <v>250</v>
      </c>
      <c r="U24" t="s">
        <v>203</v>
      </c>
      <c r="AA24">
        <f>F24+H24+J24+L24+N24+P24+R24+T24+V24</f>
        <v>8200</v>
      </c>
      <c r="AB24">
        <f t="shared" si="0"/>
        <v>0</v>
      </c>
    </row>
    <row r="25" spans="1:28" x14ac:dyDescent="0.3">
      <c r="A25">
        <v>22</v>
      </c>
      <c r="B25" s="12">
        <v>202401031</v>
      </c>
      <c r="C25" s="12" t="s">
        <v>59</v>
      </c>
      <c r="D25" s="12" t="s">
        <v>209</v>
      </c>
      <c r="E25">
        <f>8200</f>
        <v>8200</v>
      </c>
      <c r="F25"/>
      <c r="G25"/>
      <c r="H25">
        <v>4000</v>
      </c>
      <c r="I25" t="s">
        <v>37</v>
      </c>
      <c r="N25">
        <v>2000</v>
      </c>
      <c r="O25" t="s">
        <v>33</v>
      </c>
      <c r="P25">
        <v>2200</v>
      </c>
      <c r="Q25" t="s">
        <v>210</v>
      </c>
      <c r="AA25">
        <f t="shared" si="1"/>
        <v>8200</v>
      </c>
      <c r="AB25">
        <f t="shared" si="0"/>
        <v>0</v>
      </c>
    </row>
    <row r="26" spans="1:28" x14ac:dyDescent="0.3">
      <c r="A26">
        <v>23</v>
      </c>
      <c r="B26" s="63">
        <v>202401033</v>
      </c>
      <c r="C26" s="63" t="s">
        <v>211</v>
      </c>
      <c r="D26" s="63" t="s">
        <v>212</v>
      </c>
      <c r="E26" s="64">
        <f>8200</f>
        <v>8200</v>
      </c>
      <c r="F26" s="64">
        <v>4200</v>
      </c>
      <c r="G26" s="64" t="s">
        <v>37</v>
      </c>
      <c r="H26" s="64">
        <v>4000</v>
      </c>
      <c r="I26" s="64" t="s">
        <v>37</v>
      </c>
      <c r="J26" s="64"/>
      <c r="K26" s="64"/>
      <c r="L26" s="64"/>
      <c r="M26" s="64"/>
      <c r="N26" s="64"/>
      <c r="O26" s="64"/>
      <c r="P26" s="64"/>
      <c r="Q26" s="64"/>
      <c r="R26" s="64"/>
      <c r="S26" s="64"/>
      <c r="T26" s="64"/>
      <c r="U26" s="64"/>
      <c r="V26" s="64"/>
      <c r="W26" s="64"/>
      <c r="X26" s="64"/>
      <c r="Y26" s="64"/>
      <c r="Z26" s="64"/>
      <c r="AA26" s="64">
        <f t="shared" si="1"/>
        <v>8200</v>
      </c>
      <c r="AB26" s="64">
        <f t="shared" si="0"/>
        <v>0</v>
      </c>
    </row>
    <row r="27" spans="1:28" x14ac:dyDescent="0.3">
      <c r="A27">
        <v>24</v>
      </c>
      <c r="B27" s="12">
        <v>202401034</v>
      </c>
      <c r="C27" s="12" t="s">
        <v>157</v>
      </c>
      <c r="D27" s="12" t="s">
        <v>213</v>
      </c>
      <c r="E27">
        <f>8200</f>
        <v>8200</v>
      </c>
      <c r="F27"/>
      <c r="G27"/>
      <c r="H27"/>
      <c r="J27">
        <v>2000</v>
      </c>
      <c r="K27" t="s">
        <v>150</v>
      </c>
      <c r="L27">
        <v>3200</v>
      </c>
      <c r="M27" t="s">
        <v>214</v>
      </c>
      <c r="N27">
        <v>2300</v>
      </c>
      <c r="O27" t="s">
        <v>569</v>
      </c>
      <c r="AA27">
        <f t="shared" si="1"/>
        <v>7500</v>
      </c>
      <c r="AB27">
        <f t="shared" si="0"/>
        <v>700</v>
      </c>
    </row>
    <row r="28" spans="1:28" x14ac:dyDescent="0.3">
      <c r="A28">
        <v>25</v>
      </c>
      <c r="B28" s="63">
        <v>202401036</v>
      </c>
      <c r="C28" s="63" t="s">
        <v>215</v>
      </c>
      <c r="D28" s="63" t="s">
        <v>216</v>
      </c>
      <c r="E28" s="64">
        <f>8200</f>
        <v>8200</v>
      </c>
      <c r="F28" s="64"/>
      <c r="G28" s="64"/>
      <c r="H28" s="64">
        <v>7200</v>
      </c>
      <c r="I28" s="64" t="s">
        <v>178</v>
      </c>
      <c r="J28" s="64"/>
      <c r="K28" s="64"/>
      <c r="L28" s="64"/>
      <c r="M28" s="64"/>
      <c r="N28" s="64"/>
      <c r="O28" s="64"/>
      <c r="P28" s="64"/>
      <c r="Q28" s="64"/>
      <c r="R28" s="64"/>
      <c r="S28" s="64"/>
      <c r="T28" s="64"/>
      <c r="U28" s="64"/>
      <c r="V28" s="64"/>
      <c r="W28" s="64"/>
      <c r="X28" s="64"/>
      <c r="Y28" s="64"/>
      <c r="Z28" s="64"/>
      <c r="AA28" s="64">
        <f t="shared" si="1"/>
        <v>7200</v>
      </c>
      <c r="AB28" s="64">
        <f t="shared" si="0"/>
        <v>1000</v>
      </c>
    </row>
    <row r="29" spans="1:28" x14ac:dyDescent="0.3">
      <c r="A29">
        <v>26</v>
      </c>
      <c r="B29" s="12">
        <v>202401038</v>
      </c>
      <c r="C29" s="12" t="s">
        <v>217</v>
      </c>
      <c r="D29" s="12" t="s">
        <v>218</v>
      </c>
      <c r="E29">
        <f>8200</f>
        <v>8200</v>
      </c>
      <c r="F29"/>
      <c r="G29"/>
      <c r="H29"/>
      <c r="J29">
        <v>1500</v>
      </c>
      <c r="K29" t="s">
        <v>219</v>
      </c>
      <c r="N29">
        <v>5000</v>
      </c>
      <c r="O29" t="s">
        <v>62</v>
      </c>
      <c r="P29">
        <v>1700</v>
      </c>
      <c r="Q29" t="s">
        <v>34</v>
      </c>
      <c r="AA29">
        <f t="shared" si="1"/>
        <v>8200</v>
      </c>
      <c r="AB29">
        <f t="shared" si="0"/>
        <v>0</v>
      </c>
    </row>
    <row r="30" spans="1:28" x14ac:dyDescent="0.3">
      <c r="A30">
        <v>27</v>
      </c>
      <c r="B30" s="12">
        <v>202401040</v>
      </c>
      <c r="C30" s="12" t="s">
        <v>36</v>
      </c>
      <c r="D30" s="12" t="s">
        <v>220</v>
      </c>
      <c r="E30">
        <f>8200</f>
        <v>8200</v>
      </c>
      <c r="F30"/>
      <c r="G30"/>
      <c r="H30"/>
      <c r="J30">
        <v>1470</v>
      </c>
      <c r="K30" t="s">
        <v>221</v>
      </c>
      <c r="L30">
        <v>550</v>
      </c>
      <c r="M30" t="s">
        <v>33</v>
      </c>
      <c r="P30">
        <v>2500</v>
      </c>
      <c r="Q30" t="s">
        <v>570</v>
      </c>
      <c r="AA30">
        <f t="shared" si="1"/>
        <v>4520</v>
      </c>
      <c r="AB30">
        <f t="shared" si="0"/>
        <v>3680</v>
      </c>
    </row>
    <row r="31" spans="1:28" x14ac:dyDescent="0.3">
      <c r="A31">
        <v>28</v>
      </c>
      <c r="B31" s="12">
        <v>202401042</v>
      </c>
      <c r="C31" s="12" t="s">
        <v>222</v>
      </c>
      <c r="D31" s="12" t="s">
        <v>223</v>
      </c>
      <c r="E31">
        <f>8200</f>
        <v>8200</v>
      </c>
      <c r="F31"/>
      <c r="G31"/>
      <c r="H31"/>
      <c r="J31">
        <v>4300</v>
      </c>
      <c r="K31" t="s">
        <v>224</v>
      </c>
      <c r="N31">
        <v>3500</v>
      </c>
      <c r="O31" t="s">
        <v>225</v>
      </c>
      <c r="P31">
        <v>400</v>
      </c>
      <c r="Q31" t="s">
        <v>190</v>
      </c>
      <c r="AA31">
        <f t="shared" si="1"/>
        <v>8200</v>
      </c>
      <c r="AB31">
        <f t="shared" si="0"/>
        <v>0</v>
      </c>
    </row>
    <row r="32" spans="1:28" x14ac:dyDescent="0.3">
      <c r="A32">
        <v>29</v>
      </c>
      <c r="B32" s="12">
        <v>202401043</v>
      </c>
      <c r="C32" s="12" t="s">
        <v>226</v>
      </c>
      <c r="D32" s="12" t="s">
        <v>227</v>
      </c>
      <c r="E32">
        <f>8200</f>
        <v>8200</v>
      </c>
      <c r="F32">
        <v>8200</v>
      </c>
      <c r="G32"/>
      <c r="H32"/>
      <c r="AA32">
        <f t="shared" si="1"/>
        <v>8200</v>
      </c>
      <c r="AB32">
        <f t="shared" si="0"/>
        <v>0</v>
      </c>
    </row>
    <row r="33" spans="1:28" x14ac:dyDescent="0.3">
      <c r="A33">
        <v>30</v>
      </c>
      <c r="B33" s="63">
        <v>202401044</v>
      </c>
      <c r="C33" s="63" t="s">
        <v>228</v>
      </c>
      <c r="D33" s="63" t="s">
        <v>177</v>
      </c>
      <c r="E33" s="64">
        <f>8200</f>
        <v>8200</v>
      </c>
      <c r="F33" s="64"/>
      <c r="G33" s="64"/>
      <c r="H33" s="64"/>
      <c r="I33" s="64"/>
      <c r="J33" s="64">
        <v>2300</v>
      </c>
      <c r="K33" s="64" t="s">
        <v>219</v>
      </c>
      <c r="L33" s="64">
        <v>700</v>
      </c>
      <c r="M33" s="64" t="s">
        <v>175</v>
      </c>
      <c r="N33" s="64"/>
      <c r="O33" s="64"/>
      <c r="P33" s="64"/>
      <c r="Q33" s="64"/>
      <c r="R33" s="64"/>
      <c r="S33" s="64"/>
      <c r="T33" s="64"/>
      <c r="U33" s="64"/>
      <c r="V33" s="64"/>
      <c r="W33" s="64"/>
      <c r="X33" s="64"/>
      <c r="Y33" s="64"/>
      <c r="Z33" s="64"/>
      <c r="AA33" s="64">
        <f t="shared" si="1"/>
        <v>3000</v>
      </c>
      <c r="AB33" s="64">
        <f t="shared" si="0"/>
        <v>5200</v>
      </c>
    </row>
    <row r="34" spans="1:28" x14ac:dyDescent="0.3">
      <c r="A34">
        <v>31</v>
      </c>
      <c r="B34" s="12">
        <v>202401045</v>
      </c>
      <c r="C34" s="12" t="s">
        <v>229</v>
      </c>
      <c r="D34" s="12" t="s">
        <v>230</v>
      </c>
      <c r="E34">
        <f>8200</f>
        <v>8200</v>
      </c>
      <c r="F34"/>
      <c r="G34"/>
      <c r="H34">
        <v>8200</v>
      </c>
      <c r="I34" t="s">
        <v>87</v>
      </c>
      <c r="AA34">
        <f t="shared" si="1"/>
        <v>8200</v>
      </c>
      <c r="AB34">
        <f t="shared" si="0"/>
        <v>0</v>
      </c>
    </row>
    <row r="35" spans="1:28" x14ac:dyDescent="0.3">
      <c r="A35">
        <v>32</v>
      </c>
      <c r="B35" s="12">
        <v>202401047</v>
      </c>
      <c r="C35" s="12" t="s">
        <v>231</v>
      </c>
      <c r="D35" s="12" t="s">
        <v>111</v>
      </c>
      <c r="E35">
        <f>8200</f>
        <v>8200</v>
      </c>
      <c r="F35"/>
      <c r="G35"/>
      <c r="H35">
        <v>4100</v>
      </c>
      <c r="I35" t="s">
        <v>37</v>
      </c>
      <c r="N35">
        <v>1800</v>
      </c>
      <c r="O35" t="s">
        <v>72</v>
      </c>
      <c r="P35">
        <v>100</v>
      </c>
      <c r="Q35" t="s">
        <v>65</v>
      </c>
      <c r="R35">
        <v>2200</v>
      </c>
      <c r="S35" t="s">
        <v>68</v>
      </c>
      <c r="AA35">
        <f>F35+H35+J35+L35+N35+P35+R35+T35+V35</f>
        <v>8200</v>
      </c>
      <c r="AB35">
        <f t="shared" si="0"/>
        <v>0</v>
      </c>
    </row>
    <row r="36" spans="1:28" x14ac:dyDescent="0.3">
      <c r="A36">
        <v>33</v>
      </c>
      <c r="B36" s="12">
        <v>202401049</v>
      </c>
      <c r="C36" s="12" t="s">
        <v>232</v>
      </c>
      <c r="D36" s="12" t="s">
        <v>136</v>
      </c>
      <c r="E36">
        <f>8200</f>
        <v>8200</v>
      </c>
      <c r="F36"/>
      <c r="G36"/>
      <c r="H36"/>
      <c r="J36">
        <v>4500</v>
      </c>
      <c r="K36" t="s">
        <v>219</v>
      </c>
      <c r="N36">
        <v>1500</v>
      </c>
      <c r="O36" t="s">
        <v>33</v>
      </c>
      <c r="P36">
        <v>1900</v>
      </c>
      <c r="Q36" t="s">
        <v>164</v>
      </c>
      <c r="R36">
        <v>300</v>
      </c>
      <c r="S36" t="s">
        <v>233</v>
      </c>
      <c r="AA36">
        <f t="shared" si="1"/>
        <v>8200</v>
      </c>
      <c r="AB36">
        <f t="shared" si="0"/>
        <v>0</v>
      </c>
    </row>
    <row r="37" spans="1:28" x14ac:dyDescent="0.3">
      <c r="A37">
        <v>34</v>
      </c>
      <c r="B37" s="12">
        <v>202401051</v>
      </c>
      <c r="C37" s="12" t="s">
        <v>59</v>
      </c>
      <c r="D37" s="12" t="s">
        <v>234</v>
      </c>
      <c r="E37">
        <f>8200</f>
        <v>8200</v>
      </c>
      <c r="F37">
        <v>4100</v>
      </c>
      <c r="G37" t="s">
        <v>43</v>
      </c>
      <c r="H37"/>
      <c r="N37">
        <v>2000</v>
      </c>
      <c r="O37" t="s">
        <v>52</v>
      </c>
      <c r="P37">
        <v>2100</v>
      </c>
      <c r="Q37" t="s">
        <v>235</v>
      </c>
      <c r="AA37">
        <f t="shared" si="1"/>
        <v>8200</v>
      </c>
      <c r="AB37">
        <f t="shared" si="0"/>
        <v>0</v>
      </c>
    </row>
    <row r="38" spans="1:28" x14ac:dyDescent="0.3">
      <c r="A38">
        <v>35</v>
      </c>
      <c r="B38" s="12">
        <v>202401052</v>
      </c>
      <c r="C38" s="12" t="s">
        <v>140</v>
      </c>
      <c r="D38" s="12" t="s">
        <v>236</v>
      </c>
      <c r="E38">
        <f>8200</f>
        <v>8200</v>
      </c>
      <c r="F38"/>
      <c r="G38"/>
      <c r="H38">
        <v>1000</v>
      </c>
      <c r="I38" t="s">
        <v>237</v>
      </c>
      <c r="J38">
        <v>2000</v>
      </c>
      <c r="K38" t="s">
        <v>238</v>
      </c>
      <c r="L38">
        <v>1000</v>
      </c>
      <c r="M38" t="s">
        <v>189</v>
      </c>
      <c r="N38">
        <v>1000</v>
      </c>
      <c r="O38" t="s">
        <v>239</v>
      </c>
      <c r="P38">
        <v>900</v>
      </c>
      <c r="Q38" t="s">
        <v>134</v>
      </c>
      <c r="R38">
        <v>2000</v>
      </c>
      <c r="S38" t="s">
        <v>138</v>
      </c>
      <c r="T38">
        <f>1000-700</f>
        <v>300</v>
      </c>
      <c r="U38" t="s">
        <v>311</v>
      </c>
      <c r="AA38">
        <f t="shared" si="1"/>
        <v>8200</v>
      </c>
      <c r="AB38">
        <f t="shared" si="0"/>
        <v>0</v>
      </c>
    </row>
    <row r="39" spans="1:28" x14ac:dyDescent="0.3">
      <c r="A39">
        <v>36</v>
      </c>
      <c r="B39" s="12">
        <v>202401053</v>
      </c>
      <c r="C39" s="12" t="s">
        <v>240</v>
      </c>
      <c r="D39" s="12" t="s">
        <v>241</v>
      </c>
      <c r="E39">
        <f>8200</f>
        <v>8200</v>
      </c>
      <c r="F39"/>
      <c r="G39"/>
      <c r="H39">
        <v>4000</v>
      </c>
      <c r="I39" t="s">
        <v>99</v>
      </c>
      <c r="N39">
        <v>2000</v>
      </c>
      <c r="O39" t="s">
        <v>183</v>
      </c>
      <c r="P39">
        <v>2200</v>
      </c>
      <c r="Q39" t="s">
        <v>53</v>
      </c>
      <c r="AA39">
        <f t="shared" si="1"/>
        <v>8200</v>
      </c>
      <c r="AB39">
        <f t="shared" si="0"/>
        <v>0</v>
      </c>
    </row>
    <row r="40" spans="1:28" x14ac:dyDescent="0.3">
      <c r="A40">
        <v>37</v>
      </c>
      <c r="B40" s="12">
        <v>202401056</v>
      </c>
      <c r="C40" s="12" t="s">
        <v>242</v>
      </c>
      <c r="D40" s="12" t="s">
        <v>243</v>
      </c>
      <c r="E40">
        <f>8200</f>
        <v>8200</v>
      </c>
      <c r="F40"/>
      <c r="G40"/>
      <c r="H40"/>
      <c r="J40">
        <v>2000</v>
      </c>
      <c r="K40" t="s">
        <v>244</v>
      </c>
      <c r="L40" s="21"/>
      <c r="P40">
        <v>6200</v>
      </c>
      <c r="Q40" t="s">
        <v>245</v>
      </c>
      <c r="AA40">
        <f t="shared" si="1"/>
        <v>8200</v>
      </c>
      <c r="AB40">
        <f t="shared" si="0"/>
        <v>0</v>
      </c>
    </row>
    <row r="41" spans="1:28" x14ac:dyDescent="0.3">
      <c r="A41">
        <v>38</v>
      </c>
      <c r="B41" s="63">
        <v>202401059</v>
      </c>
      <c r="C41" s="63" t="s">
        <v>246</v>
      </c>
      <c r="D41" s="63" t="s">
        <v>247</v>
      </c>
      <c r="E41" s="64">
        <f>8200</f>
        <v>8200</v>
      </c>
      <c r="F41" s="64"/>
      <c r="G41" s="64"/>
      <c r="H41" s="64"/>
      <c r="I41" s="64"/>
      <c r="J41" s="64">
        <v>5000</v>
      </c>
      <c r="K41" s="65" t="s">
        <v>32</v>
      </c>
      <c r="L41" s="66"/>
      <c r="M41" s="64"/>
      <c r="N41" s="64">
        <v>1000</v>
      </c>
      <c r="O41" s="64" t="s">
        <v>248</v>
      </c>
      <c r="P41" s="64">
        <f>2250-50</f>
        <v>2200</v>
      </c>
      <c r="Q41" s="64" t="s">
        <v>138</v>
      </c>
      <c r="R41" s="64"/>
      <c r="S41" s="64"/>
      <c r="T41" s="64"/>
      <c r="U41" s="64"/>
      <c r="V41" s="64"/>
      <c r="W41" s="64"/>
      <c r="X41" s="64"/>
      <c r="Y41" s="64"/>
      <c r="Z41" s="64"/>
      <c r="AA41" s="64">
        <f t="shared" si="1"/>
        <v>8200</v>
      </c>
      <c r="AB41" s="64">
        <f t="shared" si="0"/>
        <v>0</v>
      </c>
    </row>
    <row r="42" spans="1:28" ht="18.75" hidden="1" customHeight="1" x14ac:dyDescent="0.3">
      <c r="A42">
        <v>39</v>
      </c>
      <c r="B42" s="12">
        <v>202401070</v>
      </c>
      <c r="E42">
        <v>7950</v>
      </c>
      <c r="F42"/>
      <c r="G42"/>
      <c r="H42"/>
      <c r="L42" s="21"/>
      <c r="V42">
        <f t="shared" ref="V42" si="2">SUM(G42+I42+K42+M42+O42+Q42+S42)</f>
        <v>0</v>
      </c>
      <c r="W42">
        <f t="shared" ref="W42" si="3">F42-V42</f>
        <v>0</v>
      </c>
      <c r="AA42">
        <f t="shared" si="1"/>
        <v>0</v>
      </c>
      <c r="AB42">
        <f t="shared" si="0"/>
        <v>7950</v>
      </c>
    </row>
    <row r="43" spans="1:28" x14ac:dyDescent="0.3">
      <c r="A43">
        <v>40</v>
      </c>
      <c r="B43" s="12">
        <v>202401069</v>
      </c>
      <c r="C43" s="12" t="s">
        <v>249</v>
      </c>
      <c r="D43" s="12" t="s">
        <v>250</v>
      </c>
      <c r="E43">
        <f>8200</f>
        <v>8200</v>
      </c>
      <c r="F43" s="21">
        <v>1600</v>
      </c>
      <c r="G43" t="s">
        <v>37</v>
      </c>
      <c r="H43">
        <v>2500</v>
      </c>
      <c r="I43" t="s">
        <v>150</v>
      </c>
      <c r="L43" s="21"/>
      <c r="N43">
        <v>2100</v>
      </c>
      <c r="O43" t="s">
        <v>52</v>
      </c>
      <c r="P43">
        <v>2000</v>
      </c>
      <c r="Q43" t="s">
        <v>45</v>
      </c>
      <c r="AA43">
        <f>F43+H43+J43+L43+N43+P43+R43+T43+V43</f>
        <v>8200</v>
      </c>
      <c r="AB43">
        <f t="shared" si="0"/>
        <v>0</v>
      </c>
    </row>
    <row r="44" spans="1:28" x14ac:dyDescent="0.3">
      <c r="A44">
        <v>41</v>
      </c>
      <c r="B44" s="12">
        <v>202401060</v>
      </c>
      <c r="C44" s="12" t="s">
        <v>251</v>
      </c>
      <c r="D44" s="12" t="s">
        <v>252</v>
      </c>
      <c r="E44">
        <f>8200</f>
        <v>8200</v>
      </c>
      <c r="F44" s="21">
        <v>4000</v>
      </c>
      <c r="G44" t="s">
        <v>37</v>
      </c>
      <c r="H44">
        <v>4200</v>
      </c>
      <c r="I44" t="s">
        <v>37</v>
      </c>
      <c r="L44" s="21"/>
      <c r="AA44">
        <f>F44+H44+J44+L44+N44+P44+R44+T44+V44</f>
        <v>8200</v>
      </c>
      <c r="AB44">
        <f t="shared" si="0"/>
        <v>0</v>
      </c>
    </row>
    <row r="45" spans="1:28" ht="21" x14ac:dyDescent="0.35">
      <c r="C45" s="19"/>
      <c r="D45" s="19"/>
      <c r="E45" s="22">
        <f>SUM(E4:E44)</f>
        <v>335950</v>
      </c>
      <c r="F45"/>
      <c r="G45"/>
      <c r="H45"/>
      <c r="K45" s="23"/>
      <c r="L45" s="21"/>
      <c r="AA45" s="24">
        <f>SUM(AA4:AA44)</f>
        <v>304920</v>
      </c>
      <c r="AB45" s="24">
        <f>SUM(AB4:AB44)</f>
        <v>31030</v>
      </c>
    </row>
    <row r="46" spans="1:28" x14ac:dyDescent="0.3">
      <c r="C46" s="19"/>
      <c r="D46" s="19"/>
      <c r="E46"/>
      <c r="F46" s="25">
        <f>SUM(F4:F44)</f>
        <v>38300</v>
      </c>
      <c r="G46"/>
      <c r="H46" s="25">
        <f>SUM(H4:H45)</f>
        <v>98450</v>
      </c>
      <c r="J46" s="25">
        <f>SUM(J4:J45)</f>
        <v>35070</v>
      </c>
      <c r="L46" s="26">
        <f>SUM(L4:L45)</f>
        <v>8450</v>
      </c>
      <c r="N46" s="25">
        <f>SUM(N4:N45)</f>
        <v>51800</v>
      </c>
      <c r="P46" s="25">
        <f>SUM(P4:P45)</f>
        <v>48950</v>
      </c>
      <c r="AA46" s="27">
        <f>F46+H46+J46+L46+N46+P46</f>
        <v>281020</v>
      </c>
    </row>
    <row r="47" spans="1:28" x14ac:dyDescent="0.3">
      <c r="E47" s="17"/>
      <c r="F47" s="17"/>
      <c r="G47" s="17"/>
      <c r="H47" s="17"/>
      <c r="I47" s="17"/>
    </row>
    <row r="48" spans="1:28" x14ac:dyDescent="0.3">
      <c r="D48" s="10"/>
      <c r="E48" s="17"/>
      <c r="F48" s="17"/>
      <c r="G48" s="17"/>
      <c r="H48" s="17"/>
      <c r="I48" s="17"/>
    </row>
    <row r="49" spans="5:8" x14ac:dyDescent="0.3">
      <c r="E49"/>
      <c r="F49"/>
      <c r="G49"/>
      <c r="H49"/>
    </row>
    <row r="50" spans="5:8" x14ac:dyDescent="0.3">
      <c r="E50"/>
      <c r="F50"/>
      <c r="G50"/>
      <c r="H50"/>
    </row>
    <row r="51" spans="5:8" x14ac:dyDescent="0.3">
      <c r="E51"/>
      <c r="F51"/>
      <c r="G51"/>
      <c r="H51"/>
    </row>
    <row r="52" spans="5:8" x14ac:dyDescent="0.3">
      <c r="E52"/>
      <c r="F52"/>
      <c r="G52"/>
      <c r="H52"/>
    </row>
    <row r="53" spans="5:8" x14ac:dyDescent="0.3">
      <c r="E53"/>
      <c r="F53"/>
      <c r="G53"/>
      <c r="H53"/>
    </row>
    <row r="54" spans="5:8" x14ac:dyDescent="0.3">
      <c r="E54"/>
      <c r="F54"/>
      <c r="G54"/>
      <c r="H54"/>
    </row>
    <row r="55" spans="5:8" x14ac:dyDescent="0.3">
      <c r="E55"/>
      <c r="F55"/>
      <c r="G55"/>
      <c r="H55"/>
    </row>
    <row r="56" spans="5:8" x14ac:dyDescent="0.3">
      <c r="E56"/>
      <c r="F56"/>
      <c r="G56"/>
      <c r="H56"/>
    </row>
    <row r="57" spans="5:8" x14ac:dyDescent="0.3">
      <c r="F57"/>
      <c r="G57"/>
      <c r="H57"/>
    </row>
  </sheetData>
  <pageMargins left="0.7" right="0.7" top="0.75" bottom="0.75" header="0.3" footer="0.3"/>
  <ignoredErrors>
    <ignoredError sqref="AA21"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5A24-BB36-41FF-8C8B-343B4ADB3443}">
  <dimension ref="A1:AC26"/>
  <sheetViews>
    <sheetView topLeftCell="H2" workbookViewId="0">
      <selection activeCell="AC2" sqref="AC2"/>
    </sheetView>
  </sheetViews>
  <sheetFormatPr defaultRowHeight="15" x14ac:dyDescent="0.25"/>
  <cols>
    <col min="1" max="1" width="5.85546875" customWidth="1"/>
    <col min="2" max="2" width="16.28515625" customWidth="1"/>
    <col min="3" max="3" width="21.140625" customWidth="1"/>
    <col min="4" max="4" width="19.42578125" customWidth="1"/>
    <col min="5" max="5" width="14.85546875" customWidth="1"/>
    <col min="6" max="6" width="15.5703125" customWidth="1"/>
    <col min="7" max="7" width="9.5703125" bestFit="1" customWidth="1"/>
    <col min="9" max="9" width="10.5703125" bestFit="1" customWidth="1"/>
    <col min="11" max="11" width="10.5703125" bestFit="1" customWidth="1"/>
    <col min="13" max="13" width="10.5703125" bestFit="1" customWidth="1"/>
    <col min="28" max="28" width="15.7109375" customWidth="1"/>
    <col min="29" max="29" width="14.5703125" bestFit="1" customWidth="1"/>
  </cols>
  <sheetData>
    <row r="1" spans="1:29" ht="24.75" x14ac:dyDescent="0.5">
      <c r="D1" s="28" t="s">
        <v>0</v>
      </c>
      <c r="E1" s="28"/>
    </row>
    <row r="2" spans="1:29" ht="22.5" x14ac:dyDescent="0.45">
      <c r="C2" s="61" t="s">
        <v>253</v>
      </c>
      <c r="D2" s="62"/>
      <c r="E2" s="62"/>
      <c r="F2" s="62"/>
      <c r="G2" s="62"/>
      <c r="H2" s="62"/>
      <c r="I2" s="62"/>
      <c r="J2" s="62"/>
    </row>
    <row r="3" spans="1:29" ht="15.75" x14ac:dyDescent="0.25">
      <c r="A3" s="17"/>
      <c r="B3" s="17" t="s">
        <v>2</v>
      </c>
      <c r="C3" s="17" t="s">
        <v>4</v>
      </c>
      <c r="D3" s="17" t="s">
        <v>3</v>
      </c>
      <c r="E3" s="17"/>
      <c r="F3" s="17" t="s">
        <v>5</v>
      </c>
      <c r="G3" s="17" t="s">
        <v>6</v>
      </c>
      <c r="H3" s="17"/>
      <c r="I3" s="17" t="s">
        <v>7</v>
      </c>
      <c r="J3" s="17"/>
      <c r="K3" s="17" t="s">
        <v>8</v>
      </c>
      <c r="L3" s="17"/>
      <c r="M3" s="17" t="s">
        <v>9</v>
      </c>
      <c r="N3" s="17"/>
      <c r="O3" s="17" t="s">
        <v>10</v>
      </c>
      <c r="P3" s="17"/>
      <c r="Q3" s="17" t="s">
        <v>11</v>
      </c>
      <c r="R3" s="17"/>
      <c r="S3" s="17" t="s">
        <v>12</v>
      </c>
      <c r="T3" s="17"/>
      <c r="U3" s="17"/>
      <c r="V3" s="17"/>
      <c r="W3" s="17"/>
      <c r="X3" s="17"/>
      <c r="Y3" s="17"/>
      <c r="Z3" s="17"/>
      <c r="AA3" s="17"/>
      <c r="AB3" s="17" t="s">
        <v>13</v>
      </c>
      <c r="AC3" s="17" t="s">
        <v>14</v>
      </c>
    </row>
    <row r="4" spans="1:29" ht="18.75" x14ac:dyDescent="0.3">
      <c r="A4" s="19">
        <v>1</v>
      </c>
      <c r="B4" s="12">
        <v>202407001</v>
      </c>
      <c r="C4" s="12" t="s">
        <v>113</v>
      </c>
      <c r="D4" s="12" t="s">
        <v>228</v>
      </c>
      <c r="E4" s="12">
        <v>968</v>
      </c>
      <c r="F4">
        <f>8200</f>
        <v>8200</v>
      </c>
      <c r="O4">
        <v>1000</v>
      </c>
      <c r="P4" t="s">
        <v>254</v>
      </c>
      <c r="Q4">
        <v>5000</v>
      </c>
      <c r="R4" t="s">
        <v>138</v>
      </c>
      <c r="S4">
        <v>2200</v>
      </c>
      <c r="T4" t="s">
        <v>310</v>
      </c>
      <c r="AB4">
        <f t="shared" ref="AB4:AB9" si="0">SUM(G4+I4+K4+M4+O4+Q4+S4+U4)</f>
        <v>8200</v>
      </c>
      <c r="AC4">
        <f t="shared" ref="AC4:AC24" si="1">F4-AB4</f>
        <v>0</v>
      </c>
    </row>
    <row r="5" spans="1:29" ht="18.75" x14ac:dyDescent="0.3">
      <c r="A5" s="19">
        <v>2</v>
      </c>
      <c r="B5" s="12">
        <v>202407002</v>
      </c>
      <c r="C5" s="12" t="s">
        <v>255</v>
      </c>
      <c r="D5" s="12" t="s">
        <v>256</v>
      </c>
      <c r="E5" s="29">
        <v>968</v>
      </c>
      <c r="F5">
        <f>8200</f>
        <v>8200</v>
      </c>
      <c r="I5">
        <v>4100</v>
      </c>
      <c r="J5" t="s">
        <v>23</v>
      </c>
      <c r="M5">
        <v>2050</v>
      </c>
      <c r="N5" t="s">
        <v>257</v>
      </c>
      <c r="Q5">
        <v>1850</v>
      </c>
      <c r="R5" t="s">
        <v>258</v>
      </c>
      <c r="S5">
        <v>200</v>
      </c>
      <c r="T5" t="s">
        <v>108</v>
      </c>
      <c r="AB5">
        <f>SUM(G5+I5+K5+M5+O5+Q5+S5+U5)</f>
        <v>8200</v>
      </c>
      <c r="AC5">
        <f t="shared" si="1"/>
        <v>0</v>
      </c>
    </row>
    <row r="6" spans="1:29" ht="18.75" x14ac:dyDescent="0.3">
      <c r="A6" s="19">
        <v>3</v>
      </c>
      <c r="B6" s="12">
        <v>202407003</v>
      </c>
      <c r="C6" s="12" t="s">
        <v>255</v>
      </c>
      <c r="D6" s="12" t="s">
        <v>259</v>
      </c>
      <c r="E6" s="12">
        <v>968</v>
      </c>
      <c r="F6">
        <f>8200</f>
        <v>8200</v>
      </c>
      <c r="K6">
        <v>4100</v>
      </c>
      <c r="L6" t="s">
        <v>145</v>
      </c>
      <c r="M6">
        <v>2000</v>
      </c>
      <c r="N6" t="s">
        <v>260</v>
      </c>
      <c r="Q6">
        <v>2100</v>
      </c>
      <c r="R6" t="s">
        <v>117</v>
      </c>
      <c r="AB6">
        <f t="shared" si="0"/>
        <v>8200</v>
      </c>
      <c r="AC6">
        <f t="shared" si="1"/>
        <v>0</v>
      </c>
    </row>
    <row r="7" spans="1:29" ht="18.75" x14ac:dyDescent="0.3">
      <c r="A7" s="19">
        <v>4</v>
      </c>
      <c r="B7" s="12">
        <v>202407005</v>
      </c>
      <c r="C7" s="12" t="s">
        <v>261</v>
      </c>
      <c r="D7" s="12" t="s">
        <v>262</v>
      </c>
      <c r="E7" s="12">
        <v>968</v>
      </c>
      <c r="F7">
        <f>8200</f>
        <v>8200</v>
      </c>
      <c r="M7">
        <v>3300</v>
      </c>
      <c r="N7" t="s">
        <v>95</v>
      </c>
      <c r="S7">
        <v>4000</v>
      </c>
      <c r="T7" t="s">
        <v>168</v>
      </c>
      <c r="U7">
        <f>3000-2100</f>
        <v>900</v>
      </c>
      <c r="V7" t="s">
        <v>309</v>
      </c>
      <c r="AB7">
        <f t="shared" si="0"/>
        <v>8200</v>
      </c>
      <c r="AC7">
        <f t="shared" si="1"/>
        <v>0</v>
      </c>
    </row>
    <row r="8" spans="1:29" ht="18.75" x14ac:dyDescent="0.3">
      <c r="A8" s="19">
        <v>5</v>
      </c>
      <c r="B8" s="12">
        <v>202407006</v>
      </c>
      <c r="C8" s="12" t="s">
        <v>263</v>
      </c>
      <c r="D8" s="12" t="s">
        <v>264</v>
      </c>
      <c r="E8" s="12">
        <v>968</v>
      </c>
      <c r="F8">
        <f>8200</f>
        <v>8200</v>
      </c>
      <c r="M8">
        <v>4200</v>
      </c>
      <c r="N8" t="s">
        <v>265</v>
      </c>
      <c r="AB8">
        <f t="shared" si="0"/>
        <v>4200</v>
      </c>
      <c r="AC8">
        <f t="shared" si="1"/>
        <v>4000</v>
      </c>
    </row>
    <row r="9" spans="1:29" ht="18.75" x14ac:dyDescent="0.3">
      <c r="A9" s="19">
        <v>6</v>
      </c>
      <c r="B9" s="12">
        <v>202407008</v>
      </c>
      <c r="C9" s="12" t="s">
        <v>266</v>
      </c>
      <c r="D9" s="12" t="s">
        <v>267</v>
      </c>
      <c r="E9" s="12">
        <v>968</v>
      </c>
      <c r="F9">
        <f>8200</f>
        <v>8200</v>
      </c>
      <c r="K9">
        <v>1200</v>
      </c>
      <c r="L9" t="s">
        <v>221</v>
      </c>
      <c r="M9">
        <v>5000</v>
      </c>
      <c r="N9" t="s">
        <v>268</v>
      </c>
      <c r="O9">
        <v>2000</v>
      </c>
      <c r="P9" t="s">
        <v>95</v>
      </c>
      <c r="AB9">
        <f t="shared" si="0"/>
        <v>8200</v>
      </c>
      <c r="AC9">
        <f t="shared" si="1"/>
        <v>0</v>
      </c>
    </row>
    <row r="10" spans="1:29" ht="18.75" x14ac:dyDescent="0.3">
      <c r="A10" s="19">
        <v>7</v>
      </c>
      <c r="B10" s="12">
        <v>202407009</v>
      </c>
      <c r="C10" s="12" t="s">
        <v>269</v>
      </c>
      <c r="D10" s="12" t="s">
        <v>270</v>
      </c>
      <c r="E10" s="12">
        <v>968</v>
      </c>
      <c r="F10">
        <f>8200</f>
        <v>8200</v>
      </c>
      <c r="I10">
        <v>1100</v>
      </c>
      <c r="J10" t="s">
        <v>32</v>
      </c>
      <c r="K10">
        <v>1900</v>
      </c>
      <c r="L10" t="s">
        <v>271</v>
      </c>
      <c r="M10">
        <v>500</v>
      </c>
      <c r="N10" t="s">
        <v>272</v>
      </c>
      <c r="O10">
        <v>3000</v>
      </c>
      <c r="P10" t="s">
        <v>53</v>
      </c>
      <c r="S10">
        <v>1500</v>
      </c>
      <c r="T10" t="s">
        <v>311</v>
      </c>
      <c r="AB10">
        <f>SUM(G10+I10+K10+M10+O10+Q10+S10+U10+W10+Y10)</f>
        <v>8000</v>
      </c>
      <c r="AC10">
        <f t="shared" si="1"/>
        <v>200</v>
      </c>
    </row>
    <row r="11" spans="1:29" ht="18.75" x14ac:dyDescent="0.3">
      <c r="A11" s="19">
        <v>8</v>
      </c>
      <c r="B11" s="12">
        <v>202407010</v>
      </c>
      <c r="C11" s="12" t="s">
        <v>273</v>
      </c>
      <c r="D11" s="12" t="s">
        <v>274</v>
      </c>
      <c r="E11" s="12">
        <v>968</v>
      </c>
      <c r="F11">
        <f>8200</f>
        <v>8200</v>
      </c>
      <c r="I11">
        <v>5000</v>
      </c>
      <c r="J11" t="s">
        <v>17</v>
      </c>
      <c r="O11">
        <v>650</v>
      </c>
      <c r="P11" t="s">
        <v>275</v>
      </c>
      <c r="Q11">
        <v>900</v>
      </c>
      <c r="R11" t="s">
        <v>38</v>
      </c>
      <c r="S11">
        <v>1620</v>
      </c>
      <c r="T11" t="s">
        <v>68</v>
      </c>
      <c r="U11">
        <v>30</v>
      </c>
      <c r="V11" t="s">
        <v>108</v>
      </c>
      <c r="AB11">
        <f t="shared" ref="AB11:AB24" si="2">SUM(G11+I11+K11+M11+O11+Q11+S11+U11)</f>
        <v>8200</v>
      </c>
      <c r="AC11">
        <f t="shared" si="1"/>
        <v>0</v>
      </c>
    </row>
    <row r="12" spans="1:29" ht="18.75" x14ac:dyDescent="0.3">
      <c r="A12" s="19">
        <v>9</v>
      </c>
      <c r="B12" s="12">
        <v>202407011</v>
      </c>
      <c r="C12" s="12" t="s">
        <v>276</v>
      </c>
      <c r="D12" s="12" t="s">
        <v>277</v>
      </c>
      <c r="E12" s="12">
        <v>968</v>
      </c>
      <c r="F12">
        <f>8200</f>
        <v>8200</v>
      </c>
      <c r="K12">
        <v>4000</v>
      </c>
      <c r="L12" t="s">
        <v>278</v>
      </c>
      <c r="M12">
        <v>4000</v>
      </c>
      <c r="N12" t="s">
        <v>95</v>
      </c>
      <c r="S12">
        <v>200</v>
      </c>
      <c r="T12" t="s">
        <v>279</v>
      </c>
      <c r="AB12">
        <f t="shared" si="2"/>
        <v>8200</v>
      </c>
      <c r="AC12">
        <f t="shared" si="1"/>
        <v>0</v>
      </c>
    </row>
    <row r="13" spans="1:29" ht="18.75" x14ac:dyDescent="0.3">
      <c r="A13" s="19">
        <v>10</v>
      </c>
      <c r="B13" s="12">
        <v>202407012</v>
      </c>
      <c r="C13" s="12" t="s">
        <v>280</v>
      </c>
      <c r="D13" s="12" t="s">
        <v>281</v>
      </c>
      <c r="E13" s="12">
        <v>968</v>
      </c>
      <c r="F13">
        <f>8200</f>
        <v>8200</v>
      </c>
      <c r="K13">
        <v>4000</v>
      </c>
      <c r="L13" t="s">
        <v>282</v>
      </c>
      <c r="M13">
        <v>2200</v>
      </c>
      <c r="N13" t="s">
        <v>265</v>
      </c>
      <c r="Q13">
        <v>2000</v>
      </c>
      <c r="R13" t="s">
        <v>95</v>
      </c>
      <c r="AB13">
        <f t="shared" si="2"/>
        <v>8200</v>
      </c>
      <c r="AC13">
        <f t="shared" si="1"/>
        <v>0</v>
      </c>
    </row>
    <row r="14" spans="1:29" ht="18.75" x14ac:dyDescent="0.3">
      <c r="A14" s="19">
        <v>11</v>
      </c>
      <c r="B14" s="12">
        <v>202407017</v>
      </c>
      <c r="C14" s="12" t="s">
        <v>283</v>
      </c>
      <c r="D14" s="12" t="s">
        <v>284</v>
      </c>
      <c r="E14" s="29">
        <v>968</v>
      </c>
      <c r="F14">
        <f>8200</f>
        <v>8200</v>
      </c>
      <c r="I14">
        <v>2400</v>
      </c>
      <c r="J14" t="s">
        <v>285</v>
      </c>
      <c r="K14">
        <v>3000</v>
      </c>
      <c r="L14" t="s">
        <v>221</v>
      </c>
      <c r="M14">
        <v>600</v>
      </c>
      <c r="N14" t="s">
        <v>286</v>
      </c>
      <c r="Q14">
        <v>2200</v>
      </c>
      <c r="R14" t="s">
        <v>78</v>
      </c>
      <c r="AB14">
        <f t="shared" si="2"/>
        <v>8200</v>
      </c>
      <c r="AC14">
        <f t="shared" si="1"/>
        <v>0</v>
      </c>
    </row>
    <row r="15" spans="1:29" ht="18.75" x14ac:dyDescent="0.3">
      <c r="A15" s="19">
        <v>12</v>
      </c>
      <c r="B15" s="12">
        <v>202407018</v>
      </c>
      <c r="C15" s="12" t="s">
        <v>137</v>
      </c>
      <c r="D15" s="12" t="s">
        <v>287</v>
      </c>
      <c r="E15" s="12">
        <v>968</v>
      </c>
      <c r="F15">
        <f>8200</f>
        <v>8200</v>
      </c>
      <c r="I15">
        <v>1500</v>
      </c>
      <c r="J15" t="s">
        <v>122</v>
      </c>
      <c r="K15">
        <v>1000</v>
      </c>
      <c r="L15" t="s">
        <v>219</v>
      </c>
      <c r="M15">
        <v>1500</v>
      </c>
      <c r="N15" t="s">
        <v>288</v>
      </c>
      <c r="O15">
        <v>2000</v>
      </c>
      <c r="P15" t="s">
        <v>289</v>
      </c>
      <c r="Q15">
        <v>2000</v>
      </c>
      <c r="R15" t="s">
        <v>95</v>
      </c>
      <c r="AB15">
        <f t="shared" si="2"/>
        <v>8000</v>
      </c>
      <c r="AC15">
        <f t="shared" si="1"/>
        <v>200</v>
      </c>
    </row>
    <row r="16" spans="1:29" ht="18.75" x14ac:dyDescent="0.3">
      <c r="A16" s="19">
        <v>13</v>
      </c>
      <c r="B16" s="12">
        <v>202407019</v>
      </c>
      <c r="C16" s="12" t="s">
        <v>263</v>
      </c>
      <c r="D16" s="12" t="s">
        <v>290</v>
      </c>
      <c r="E16" s="12">
        <v>968</v>
      </c>
      <c r="F16">
        <f>8200</f>
        <v>8200</v>
      </c>
      <c r="K16">
        <v>4100</v>
      </c>
      <c r="L16" t="s">
        <v>291</v>
      </c>
      <c r="M16">
        <v>2050</v>
      </c>
      <c r="N16" t="s">
        <v>292</v>
      </c>
      <c r="O16">
        <v>2050</v>
      </c>
      <c r="P16" t="s">
        <v>138</v>
      </c>
      <c r="AB16">
        <f t="shared" si="2"/>
        <v>8200</v>
      </c>
      <c r="AC16">
        <f t="shared" si="1"/>
        <v>0</v>
      </c>
    </row>
    <row r="17" spans="1:29" ht="18.75" x14ac:dyDescent="0.3">
      <c r="A17" s="19">
        <v>14</v>
      </c>
      <c r="B17" s="12">
        <v>202407022</v>
      </c>
      <c r="C17" s="12" t="s">
        <v>293</v>
      </c>
      <c r="D17" s="12" t="s">
        <v>294</v>
      </c>
      <c r="E17" s="12">
        <v>968</v>
      </c>
      <c r="F17">
        <f>8200</f>
        <v>8200</v>
      </c>
      <c r="I17">
        <v>2500</v>
      </c>
      <c r="J17" t="s">
        <v>171</v>
      </c>
      <c r="K17">
        <v>2000</v>
      </c>
      <c r="L17" t="s">
        <v>295</v>
      </c>
      <c r="M17">
        <v>1500</v>
      </c>
      <c r="N17" t="s">
        <v>257</v>
      </c>
      <c r="O17">
        <v>2000</v>
      </c>
      <c r="P17" t="s">
        <v>95</v>
      </c>
      <c r="Q17">
        <v>200</v>
      </c>
      <c r="R17" t="s">
        <v>95</v>
      </c>
      <c r="AB17">
        <f>SUM(G17+I17+K17+M17+O17+Q17+S17+U17)</f>
        <v>8200</v>
      </c>
      <c r="AC17">
        <f t="shared" si="1"/>
        <v>0</v>
      </c>
    </row>
    <row r="18" spans="1:29" ht="18.75" x14ac:dyDescent="0.3">
      <c r="A18" s="19">
        <v>15</v>
      </c>
      <c r="B18" s="12">
        <v>202407023</v>
      </c>
      <c r="C18" s="12" t="s">
        <v>296</v>
      </c>
      <c r="D18" s="12" t="s">
        <v>297</v>
      </c>
      <c r="E18" s="12">
        <v>968</v>
      </c>
      <c r="F18">
        <f>8200</f>
        <v>8200</v>
      </c>
      <c r="K18">
        <v>6200</v>
      </c>
      <c r="L18" t="s">
        <v>186</v>
      </c>
      <c r="M18">
        <v>2000</v>
      </c>
      <c r="N18" t="s">
        <v>95</v>
      </c>
      <c r="AB18">
        <f t="shared" si="2"/>
        <v>8200</v>
      </c>
      <c r="AC18">
        <f t="shared" si="1"/>
        <v>0</v>
      </c>
    </row>
    <row r="19" spans="1:29" ht="18.75" x14ac:dyDescent="0.3">
      <c r="A19" s="19">
        <v>16</v>
      </c>
      <c r="B19" s="12">
        <v>202407024</v>
      </c>
      <c r="C19" s="12" t="s">
        <v>298</v>
      </c>
      <c r="D19" s="12" t="s">
        <v>49</v>
      </c>
      <c r="E19" s="29">
        <v>968</v>
      </c>
      <c r="F19">
        <f>8200</f>
        <v>8200</v>
      </c>
      <c r="I19">
        <v>2000</v>
      </c>
      <c r="J19" t="s">
        <v>37</v>
      </c>
      <c r="K19">
        <v>4000</v>
      </c>
      <c r="L19" t="s">
        <v>271</v>
      </c>
      <c r="M19">
        <v>2200</v>
      </c>
      <c r="N19" t="s">
        <v>45</v>
      </c>
      <c r="AB19">
        <f t="shared" si="2"/>
        <v>8200</v>
      </c>
      <c r="AC19">
        <f t="shared" si="1"/>
        <v>0</v>
      </c>
    </row>
    <row r="20" spans="1:29" ht="18.75" x14ac:dyDescent="0.3">
      <c r="A20" s="19">
        <v>17</v>
      </c>
      <c r="B20" s="12">
        <v>202407025</v>
      </c>
      <c r="C20" s="12" t="s">
        <v>261</v>
      </c>
      <c r="D20" s="12" t="s">
        <v>299</v>
      </c>
      <c r="E20" s="12">
        <v>968</v>
      </c>
      <c r="F20">
        <f>8200</f>
        <v>8200</v>
      </c>
      <c r="K20">
        <v>3000</v>
      </c>
      <c r="L20" t="s">
        <v>300</v>
      </c>
      <c r="M20">
        <v>1000</v>
      </c>
      <c r="N20" t="s">
        <v>193</v>
      </c>
      <c r="O20">
        <v>3000</v>
      </c>
      <c r="P20" t="s">
        <v>78</v>
      </c>
      <c r="Q20">
        <v>1200</v>
      </c>
      <c r="R20" t="s">
        <v>208</v>
      </c>
      <c r="AB20">
        <f t="shared" si="2"/>
        <v>8200</v>
      </c>
      <c r="AC20">
        <f t="shared" si="1"/>
        <v>0</v>
      </c>
    </row>
    <row r="21" spans="1:29" ht="18.75" x14ac:dyDescent="0.3">
      <c r="A21" s="19">
        <v>18</v>
      </c>
      <c r="B21" s="12">
        <v>202407026</v>
      </c>
      <c r="C21" s="12" t="s">
        <v>301</v>
      </c>
      <c r="D21" s="12" t="s">
        <v>251</v>
      </c>
      <c r="E21" s="12">
        <v>968</v>
      </c>
      <c r="F21">
        <f>8200</f>
        <v>8200</v>
      </c>
      <c r="M21">
        <v>4100</v>
      </c>
      <c r="N21" t="s">
        <v>286</v>
      </c>
      <c r="O21">
        <v>3000</v>
      </c>
      <c r="P21" t="s">
        <v>95</v>
      </c>
      <c r="Q21">
        <v>1100</v>
      </c>
      <c r="R21" t="s">
        <v>95</v>
      </c>
      <c r="AB21">
        <f t="shared" si="2"/>
        <v>8200</v>
      </c>
      <c r="AC21">
        <f t="shared" si="1"/>
        <v>0</v>
      </c>
    </row>
    <row r="22" spans="1:29" ht="18.75" x14ac:dyDescent="0.3">
      <c r="A22" s="19">
        <v>19</v>
      </c>
      <c r="B22" s="12">
        <v>202407027</v>
      </c>
      <c r="C22" s="12" t="s">
        <v>302</v>
      </c>
      <c r="D22" s="12" t="s">
        <v>303</v>
      </c>
      <c r="E22" s="29">
        <v>968</v>
      </c>
      <c r="F22">
        <f>8200</f>
        <v>8200</v>
      </c>
      <c r="G22">
        <v>4000</v>
      </c>
      <c r="H22" t="s">
        <v>122</v>
      </c>
      <c r="I22">
        <v>4200</v>
      </c>
      <c r="J22" t="s">
        <v>122</v>
      </c>
      <c r="AB22">
        <f t="shared" si="2"/>
        <v>8200</v>
      </c>
      <c r="AC22">
        <f t="shared" si="1"/>
        <v>0</v>
      </c>
    </row>
    <row r="23" spans="1:29" ht="18.75" x14ac:dyDescent="0.3">
      <c r="A23" s="19">
        <v>20</v>
      </c>
      <c r="B23" s="12">
        <v>202407028</v>
      </c>
      <c r="C23" s="12" t="s">
        <v>304</v>
      </c>
      <c r="D23" s="12" t="s">
        <v>305</v>
      </c>
      <c r="E23" s="12">
        <v>968</v>
      </c>
      <c r="F23">
        <f>8200</f>
        <v>8200</v>
      </c>
      <c r="M23">
        <v>4200</v>
      </c>
      <c r="N23" t="s">
        <v>306</v>
      </c>
      <c r="Q23">
        <v>4000</v>
      </c>
      <c r="R23" t="s">
        <v>138</v>
      </c>
      <c r="AB23">
        <f t="shared" si="2"/>
        <v>8200</v>
      </c>
      <c r="AC23">
        <f t="shared" si="1"/>
        <v>0</v>
      </c>
    </row>
    <row r="24" spans="1:29" ht="18.75" x14ac:dyDescent="0.3">
      <c r="A24" s="19">
        <v>21</v>
      </c>
      <c r="B24" s="12">
        <v>202407029</v>
      </c>
      <c r="C24" s="12" t="s">
        <v>307</v>
      </c>
      <c r="D24" s="12" t="s">
        <v>308</v>
      </c>
      <c r="E24" s="29">
        <v>968</v>
      </c>
      <c r="F24">
        <f>8200</f>
        <v>8200</v>
      </c>
      <c r="M24">
        <v>4800</v>
      </c>
      <c r="N24" t="s">
        <v>87</v>
      </c>
      <c r="Q24">
        <v>3300</v>
      </c>
      <c r="R24" t="s">
        <v>258</v>
      </c>
      <c r="S24">
        <v>100</v>
      </c>
      <c r="T24" t="s">
        <v>53</v>
      </c>
      <c r="AB24">
        <f t="shared" si="2"/>
        <v>8200</v>
      </c>
      <c r="AC24">
        <f t="shared" si="1"/>
        <v>0</v>
      </c>
    </row>
    <row r="25" spans="1:29" ht="18.75" x14ac:dyDescent="0.3">
      <c r="B25" s="12"/>
      <c r="E25" s="22">
        <f>SUM(E4:E24)</f>
        <v>20328</v>
      </c>
      <c r="F25" s="22">
        <f>SUM(F4:F24)</f>
        <v>172200</v>
      </c>
      <c r="AB25" s="22">
        <f>SUM(AB4:AB24)</f>
        <v>167800</v>
      </c>
      <c r="AC25" s="22">
        <f>SUM(AC4:AC24)</f>
        <v>4400</v>
      </c>
    </row>
    <row r="26" spans="1:29" x14ac:dyDescent="0.25">
      <c r="G26" s="25">
        <f>SUM(G4:G25)</f>
        <v>4000</v>
      </c>
      <c r="I26" s="25">
        <f>SUM(I4:I25)</f>
        <v>22800</v>
      </c>
      <c r="K26" s="25">
        <f>SUM(K4:K25)</f>
        <v>38500</v>
      </c>
      <c r="M26" s="25">
        <f>SUM(M4:M25)</f>
        <v>47200</v>
      </c>
      <c r="O26" s="18">
        <f>SUM(O4:O25)</f>
        <v>18700</v>
      </c>
      <c r="Q26" s="18">
        <f>SUM(Q4:Q25)</f>
        <v>25850</v>
      </c>
      <c r="AB26" s="30">
        <f>G26+I26+K26+M26+O26+Q26</f>
        <v>157050</v>
      </c>
    </row>
  </sheetData>
  <mergeCells count="1">
    <mergeCell ref="C2:J2"/>
  </mergeCells>
  <pageMargins left="0.7" right="0.7" top="0.75" bottom="0.75" header="0.3" footer="0.3"/>
  <ignoredErrors>
    <ignoredError sqref="AB10"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4477-EBDB-4904-A6F7-8B01E18BA992}">
  <dimension ref="A1:AM46"/>
  <sheetViews>
    <sheetView topLeftCell="A25" workbookViewId="0">
      <selection activeCell="C44" sqref="C44"/>
    </sheetView>
  </sheetViews>
  <sheetFormatPr defaultColWidth="9" defaultRowHeight="18.75" x14ac:dyDescent="0.3"/>
  <cols>
    <col min="2" max="2" width="19.85546875" customWidth="1"/>
    <col min="3" max="3" width="18.85546875" customWidth="1"/>
    <col min="4" max="4" width="23.28515625" customWidth="1"/>
    <col min="5" max="5" width="14.28515625" customWidth="1"/>
    <col min="7" max="7" width="9" style="16"/>
    <col min="8" max="8" width="14.5703125" style="16" bestFit="1" customWidth="1"/>
    <col min="9" max="10" width="9" style="16"/>
    <col min="11" max="11" width="12.5703125" style="16" customWidth="1"/>
    <col min="12" max="12" width="10.5703125" style="16" bestFit="1" customWidth="1"/>
    <col min="13" max="13" width="11.7109375" style="34" customWidth="1"/>
    <col min="14" max="14" width="10.5703125" bestFit="1" customWidth="1"/>
    <col min="15" max="15" width="11.5703125" customWidth="1"/>
    <col min="16" max="16" width="10.5703125" bestFit="1" customWidth="1"/>
    <col min="17" max="17" width="12.7109375" customWidth="1"/>
    <col min="18" max="18" width="10.85546875" customWidth="1"/>
    <col min="19" max="19" width="11.28515625" customWidth="1"/>
    <col min="20" max="20" width="13.5703125" customWidth="1"/>
    <col min="21" max="21" width="11.7109375" customWidth="1"/>
    <col min="22" max="22" width="11.28515625" customWidth="1"/>
    <col min="23" max="23" width="13.140625" customWidth="1"/>
    <col min="24" max="24" width="10.5703125" customWidth="1"/>
    <col min="25" max="25" width="11.42578125" customWidth="1"/>
    <col min="27" max="27" width="11" customWidth="1"/>
    <col min="29" max="29" width="11.7109375" customWidth="1"/>
    <col min="38" max="38" width="13.7109375" customWidth="1"/>
    <col min="39" max="39" width="13.28515625" customWidth="1"/>
  </cols>
  <sheetData>
    <row r="1" spans="1:39" ht="24.75" x14ac:dyDescent="0.5">
      <c r="A1" s="31"/>
      <c r="B1" s="31"/>
      <c r="C1" s="32" t="s">
        <v>0</v>
      </c>
      <c r="D1" s="31"/>
      <c r="E1" s="33"/>
      <c r="F1" s="33"/>
      <c r="G1" s="33"/>
      <c r="H1" s="33"/>
      <c r="I1" s="33"/>
      <c r="J1" s="33"/>
      <c r="K1" s="34"/>
      <c r="L1"/>
      <c r="M1"/>
    </row>
    <row r="2" spans="1:39" ht="24.75" x14ac:dyDescent="0.5">
      <c r="A2" s="31"/>
      <c r="B2" s="31"/>
      <c r="C2" s="35" t="s">
        <v>312</v>
      </c>
      <c r="D2" s="31"/>
      <c r="E2" s="33"/>
      <c r="F2" s="33"/>
      <c r="G2" s="33"/>
      <c r="H2" s="33"/>
      <c r="I2" s="33"/>
      <c r="J2" s="33"/>
      <c r="K2" s="34"/>
      <c r="L2"/>
      <c r="M2"/>
    </row>
    <row r="3" spans="1:39" x14ac:dyDescent="0.3">
      <c r="A3" s="17"/>
      <c r="B3" s="17" t="s">
        <v>2</v>
      </c>
      <c r="C3" s="17" t="s">
        <v>313</v>
      </c>
      <c r="D3" s="17" t="s">
        <v>314</v>
      </c>
      <c r="E3" s="36" t="s">
        <v>315</v>
      </c>
      <c r="F3" s="36" t="s">
        <v>316</v>
      </c>
      <c r="G3" s="36" t="s">
        <v>317</v>
      </c>
      <c r="H3" s="36" t="s">
        <v>318</v>
      </c>
      <c r="I3" s="36" t="s">
        <v>319</v>
      </c>
      <c r="J3" s="36" t="s">
        <v>320</v>
      </c>
      <c r="K3" s="37" t="s">
        <v>321</v>
      </c>
      <c r="L3" s="12" t="s">
        <v>322</v>
      </c>
      <c r="M3" s="12" t="s">
        <v>323</v>
      </c>
      <c r="N3" s="12" t="s">
        <v>324</v>
      </c>
      <c r="O3" s="12" t="s">
        <v>323</v>
      </c>
      <c r="P3" s="12" t="s">
        <v>325</v>
      </c>
      <c r="Q3" s="12" t="s">
        <v>323</v>
      </c>
      <c r="R3" s="12" t="s">
        <v>326</v>
      </c>
      <c r="S3" s="12" t="s">
        <v>323</v>
      </c>
      <c r="T3" s="12" t="s">
        <v>327</v>
      </c>
      <c r="U3" s="12" t="s">
        <v>323</v>
      </c>
      <c r="V3" s="12" t="s">
        <v>328</v>
      </c>
      <c r="W3" s="12" t="s">
        <v>323</v>
      </c>
      <c r="X3" s="12" t="s">
        <v>329</v>
      </c>
      <c r="Y3" s="12" t="s">
        <v>323</v>
      </c>
      <c r="Z3" s="12" t="s">
        <v>330</v>
      </c>
      <c r="AA3" s="12" t="s">
        <v>323</v>
      </c>
      <c r="AB3" s="12" t="s">
        <v>331</v>
      </c>
      <c r="AC3" s="12" t="s">
        <v>323</v>
      </c>
      <c r="AK3" s="17"/>
      <c r="AL3" s="17" t="s">
        <v>13</v>
      </c>
      <c r="AM3" s="17" t="s">
        <v>14</v>
      </c>
    </row>
    <row r="4" spans="1:39" x14ac:dyDescent="0.3">
      <c r="A4" s="17"/>
      <c r="B4" s="17"/>
      <c r="C4" s="17"/>
      <c r="D4" s="17"/>
      <c r="E4" s="36"/>
      <c r="F4" s="36"/>
      <c r="G4" s="36"/>
      <c r="H4" s="36"/>
      <c r="I4" s="36"/>
      <c r="J4" s="36"/>
      <c r="K4" s="37"/>
      <c r="L4" s="10" t="s">
        <v>332</v>
      </c>
      <c r="M4" s="12"/>
      <c r="N4" s="10" t="s">
        <v>7</v>
      </c>
      <c r="O4" s="12"/>
      <c r="P4" s="10" t="s">
        <v>8</v>
      </c>
      <c r="Q4" s="12"/>
      <c r="R4" s="10" t="s">
        <v>9</v>
      </c>
      <c r="S4" s="12"/>
      <c r="T4" s="12" t="s">
        <v>10</v>
      </c>
      <c r="U4" s="12"/>
      <c r="V4" s="12" t="s">
        <v>11</v>
      </c>
      <c r="W4" s="12"/>
      <c r="X4" s="12" t="s">
        <v>12</v>
      </c>
      <c r="Y4" s="12"/>
      <c r="Z4" s="12"/>
      <c r="AA4" s="12"/>
      <c r="AB4" s="12"/>
      <c r="AC4" s="12"/>
      <c r="AK4" s="17"/>
      <c r="AL4" s="17"/>
      <c r="AM4" s="17"/>
    </row>
    <row r="5" spans="1:39" ht="21" x14ac:dyDescent="0.35">
      <c r="A5" s="38">
        <v>1</v>
      </c>
      <c r="B5" s="38">
        <v>202501001</v>
      </c>
      <c r="C5" s="12" t="s">
        <v>333</v>
      </c>
      <c r="D5" s="12" t="s">
        <v>334</v>
      </c>
      <c r="E5" s="16"/>
      <c r="F5" s="16"/>
      <c r="H5" s="16">
        <v>968</v>
      </c>
      <c r="I5" s="16">
        <v>364</v>
      </c>
      <c r="K5" s="39">
        <f>8200</f>
        <v>8200</v>
      </c>
      <c r="L5" s="40">
        <v>1000</v>
      </c>
      <c r="M5" s="40" t="s">
        <v>37</v>
      </c>
      <c r="N5" s="40">
        <v>1000</v>
      </c>
      <c r="O5" s="40" t="s">
        <v>146</v>
      </c>
      <c r="P5" s="40">
        <v>2000</v>
      </c>
      <c r="Q5" s="40" t="s">
        <v>145</v>
      </c>
      <c r="R5" s="40">
        <v>1000</v>
      </c>
      <c r="S5" s="40" t="s">
        <v>289</v>
      </c>
      <c r="T5" s="40">
        <v>3200</v>
      </c>
      <c r="U5" s="40" t="s">
        <v>53</v>
      </c>
      <c r="V5" s="40"/>
      <c r="W5" s="40"/>
      <c r="X5" s="40"/>
      <c r="Y5" s="40"/>
      <c r="Z5" s="40"/>
      <c r="AA5" s="12"/>
      <c r="AB5" s="12"/>
      <c r="AC5" s="12"/>
      <c r="AL5" s="41">
        <f>L5+N5+P5+R5+T5+V5+X5+Z5+AB5+AD5+AF5+AH5+AJ5</f>
        <v>8200</v>
      </c>
      <c r="AM5" s="42">
        <f>K5-AL5</f>
        <v>0</v>
      </c>
    </row>
    <row r="6" spans="1:39" ht="21" x14ac:dyDescent="0.35">
      <c r="A6" s="38">
        <v>2</v>
      </c>
      <c r="B6" s="38">
        <v>202501003</v>
      </c>
      <c r="C6" s="12" t="s">
        <v>335</v>
      </c>
      <c r="D6" s="12" t="s">
        <v>47</v>
      </c>
      <c r="E6" s="16">
        <v>1200</v>
      </c>
      <c r="F6" s="16">
        <v>270</v>
      </c>
      <c r="H6" s="43">
        <f>1332-364</f>
        <v>968</v>
      </c>
      <c r="I6" s="16">
        <v>364</v>
      </c>
      <c r="K6" s="39">
        <f>8200</f>
        <v>8200</v>
      </c>
      <c r="L6" s="40"/>
      <c r="M6" s="40"/>
      <c r="N6" s="40">
        <v>3000</v>
      </c>
      <c r="O6" s="40" t="s">
        <v>17</v>
      </c>
      <c r="P6" s="40"/>
      <c r="Q6" s="40"/>
      <c r="R6" s="40">
        <v>4700</v>
      </c>
      <c r="S6" s="40" t="s">
        <v>265</v>
      </c>
      <c r="T6" s="40">
        <v>500</v>
      </c>
      <c r="U6" s="40" t="s">
        <v>138</v>
      </c>
      <c r="V6" s="40"/>
      <c r="W6" s="40"/>
      <c r="X6" s="40"/>
      <c r="Y6" s="40"/>
      <c r="Z6" s="40"/>
      <c r="AA6" s="12"/>
      <c r="AB6" s="12"/>
      <c r="AC6" s="12"/>
      <c r="AL6" s="41">
        <f t="shared" ref="AL6:AL33" si="0">L6+N6+P6+R6+T6+V6+X6+Z6+AB6+AD6+AF6+AH6+AJ6</f>
        <v>8200</v>
      </c>
      <c r="AM6" s="42">
        <f t="shared" ref="AM6:AM34" si="1">K6-AL6</f>
        <v>0</v>
      </c>
    </row>
    <row r="7" spans="1:39" ht="21" x14ac:dyDescent="0.35">
      <c r="A7" s="38">
        <v>3</v>
      </c>
      <c r="B7" s="38">
        <v>202501004</v>
      </c>
      <c r="C7" s="12" t="s">
        <v>336</v>
      </c>
      <c r="D7" s="12" t="s">
        <v>337</v>
      </c>
      <c r="E7" s="16">
        <v>600</v>
      </c>
      <c r="F7" s="16"/>
      <c r="H7" s="43">
        <f>1332-364</f>
        <v>968</v>
      </c>
      <c r="I7" s="16">
        <v>364</v>
      </c>
      <c r="K7" s="39">
        <f>8200</f>
        <v>8200</v>
      </c>
      <c r="L7" s="40">
        <v>4000</v>
      </c>
      <c r="M7" s="40" t="s">
        <v>20</v>
      </c>
      <c r="N7" s="40">
        <v>1000</v>
      </c>
      <c r="O7" s="40" t="s">
        <v>20</v>
      </c>
      <c r="P7" s="40">
        <v>1600</v>
      </c>
      <c r="Q7" s="40" t="s">
        <v>221</v>
      </c>
      <c r="R7" s="40">
        <f>1800-200</f>
        <v>1600</v>
      </c>
      <c r="S7" s="40" t="s">
        <v>95</v>
      </c>
      <c r="T7" s="40"/>
      <c r="U7" s="40"/>
      <c r="V7" s="40"/>
      <c r="W7" s="40"/>
      <c r="X7" s="40"/>
      <c r="Y7" s="40"/>
      <c r="Z7" s="40"/>
      <c r="AA7" s="12"/>
      <c r="AB7" s="12"/>
      <c r="AC7" s="12"/>
      <c r="AL7" s="41">
        <f t="shared" si="0"/>
        <v>8200</v>
      </c>
      <c r="AM7" s="42">
        <f t="shared" si="1"/>
        <v>0</v>
      </c>
    </row>
    <row r="8" spans="1:39" ht="21" x14ac:dyDescent="0.35">
      <c r="A8" s="38">
        <v>4</v>
      </c>
      <c r="B8" s="38">
        <v>202501005</v>
      </c>
      <c r="C8" s="12" t="s">
        <v>338</v>
      </c>
      <c r="D8" s="12" t="s">
        <v>49</v>
      </c>
      <c r="E8" s="16">
        <v>600</v>
      </c>
      <c r="F8" s="16"/>
      <c r="H8" s="16">
        <v>968</v>
      </c>
      <c r="I8" s="16">
        <v>364</v>
      </c>
      <c r="J8" s="16">
        <v>100</v>
      </c>
      <c r="K8" s="39">
        <f>8200</f>
        <v>8200</v>
      </c>
      <c r="L8" s="40"/>
      <c r="M8" s="40"/>
      <c r="N8" s="40">
        <v>2000</v>
      </c>
      <c r="O8" s="40" t="s">
        <v>167</v>
      </c>
      <c r="P8" s="40">
        <v>2000</v>
      </c>
      <c r="Q8" s="40" t="s">
        <v>145</v>
      </c>
      <c r="R8" s="40"/>
      <c r="S8" s="40"/>
      <c r="T8" s="40"/>
      <c r="U8" s="40"/>
      <c r="V8" s="40">
        <v>3000</v>
      </c>
      <c r="W8" s="40" t="s">
        <v>25</v>
      </c>
      <c r="X8" s="40">
        <f>1300-100</f>
        <v>1200</v>
      </c>
      <c r="Y8" s="40" t="s">
        <v>34</v>
      </c>
      <c r="Z8" s="44"/>
      <c r="AL8" s="41">
        <f t="shared" si="0"/>
        <v>8200</v>
      </c>
      <c r="AM8" s="42">
        <f t="shared" si="1"/>
        <v>0</v>
      </c>
    </row>
    <row r="9" spans="1:39" ht="21" x14ac:dyDescent="0.35">
      <c r="A9" s="38">
        <v>5</v>
      </c>
      <c r="B9" s="38">
        <v>202501006</v>
      </c>
      <c r="C9" s="12" t="s">
        <v>339</v>
      </c>
      <c r="D9" s="12" t="s">
        <v>195</v>
      </c>
      <c r="E9" s="16"/>
      <c r="F9" s="16">
        <v>270</v>
      </c>
      <c r="H9" s="16">
        <v>968</v>
      </c>
      <c r="K9" s="39">
        <f>8200</f>
        <v>8200</v>
      </c>
      <c r="L9" s="40"/>
      <c r="M9" s="40"/>
      <c r="N9" s="40">
        <v>4500</v>
      </c>
      <c r="O9" s="40" t="s">
        <v>37</v>
      </c>
      <c r="P9" s="40"/>
      <c r="Q9" s="40"/>
      <c r="R9" s="40">
        <v>2500</v>
      </c>
      <c r="S9" s="40" t="s">
        <v>24</v>
      </c>
      <c r="T9" s="40">
        <v>1200</v>
      </c>
      <c r="U9" s="40" t="s">
        <v>95</v>
      </c>
      <c r="V9" s="40"/>
      <c r="W9" s="40"/>
      <c r="X9" s="40"/>
      <c r="Y9" s="40"/>
      <c r="Z9" s="44"/>
      <c r="AL9" s="41">
        <f t="shared" si="0"/>
        <v>8200</v>
      </c>
      <c r="AM9" s="42">
        <f t="shared" si="1"/>
        <v>0</v>
      </c>
    </row>
    <row r="10" spans="1:39" ht="21" x14ac:dyDescent="0.35">
      <c r="A10" s="38">
        <v>6</v>
      </c>
      <c r="B10" s="38">
        <v>202501007</v>
      </c>
      <c r="C10" s="12" t="s">
        <v>340</v>
      </c>
      <c r="D10" s="12" t="s">
        <v>341</v>
      </c>
      <c r="E10" s="16"/>
      <c r="F10" s="16"/>
      <c r="H10" s="16">
        <v>968</v>
      </c>
      <c r="I10" s="16">
        <v>364</v>
      </c>
      <c r="K10" s="39">
        <f>8200</f>
        <v>8200</v>
      </c>
      <c r="L10" s="40"/>
      <c r="M10" s="40"/>
      <c r="N10" s="40"/>
      <c r="O10" s="40"/>
      <c r="P10" s="40"/>
      <c r="Q10" s="40"/>
      <c r="R10" s="40"/>
      <c r="S10" s="40"/>
      <c r="T10" s="40">
        <v>3000</v>
      </c>
      <c r="U10" s="40" t="s">
        <v>275</v>
      </c>
      <c r="V10" s="40">
        <v>3600</v>
      </c>
      <c r="W10" s="40" t="s">
        <v>62</v>
      </c>
      <c r="X10" s="40">
        <v>1600</v>
      </c>
      <c r="Y10" s="40" t="s">
        <v>53</v>
      </c>
      <c r="Z10" s="44"/>
      <c r="AL10" s="41">
        <f>L10+N10+P10+R10+T10+V10+X10+Z10+AB10+AD10+AF10+AH10+AJ10</f>
        <v>8200</v>
      </c>
      <c r="AM10" s="42">
        <f t="shared" si="1"/>
        <v>0</v>
      </c>
    </row>
    <row r="11" spans="1:39" ht="21" x14ac:dyDescent="0.35">
      <c r="A11" s="38">
        <v>7</v>
      </c>
      <c r="B11" s="38">
        <v>202501008</v>
      </c>
      <c r="C11" s="12" t="s">
        <v>342</v>
      </c>
      <c r="D11" s="12" t="s">
        <v>343</v>
      </c>
      <c r="E11" s="16"/>
      <c r="F11" s="16"/>
      <c r="H11" s="16">
        <v>968</v>
      </c>
      <c r="I11" s="16">
        <v>364</v>
      </c>
      <c r="K11" s="39">
        <f>8200</f>
        <v>8200</v>
      </c>
      <c r="L11" s="40"/>
      <c r="M11" s="40"/>
      <c r="N11" s="40">
        <v>3000</v>
      </c>
      <c r="O11" s="40" t="s">
        <v>23</v>
      </c>
      <c r="P11" s="40">
        <v>1000</v>
      </c>
      <c r="Q11" s="40" t="s">
        <v>221</v>
      </c>
      <c r="R11" s="40">
        <v>2000</v>
      </c>
      <c r="S11" s="40" t="s">
        <v>289</v>
      </c>
      <c r="T11" s="40">
        <v>2200</v>
      </c>
      <c r="U11" s="40" t="s">
        <v>78</v>
      </c>
      <c r="V11" s="40"/>
      <c r="W11" s="40"/>
      <c r="X11" s="40"/>
      <c r="Y11" s="40"/>
      <c r="Z11" s="44"/>
      <c r="AL11" s="41">
        <f t="shared" si="0"/>
        <v>8200</v>
      </c>
      <c r="AM11" s="42">
        <f t="shared" si="1"/>
        <v>0</v>
      </c>
    </row>
    <row r="12" spans="1:39" ht="21" x14ac:dyDescent="0.35">
      <c r="A12" s="38">
        <v>8</v>
      </c>
      <c r="B12" s="38">
        <v>202501009</v>
      </c>
      <c r="C12" s="12" t="s">
        <v>246</v>
      </c>
      <c r="D12" s="12" t="s">
        <v>97</v>
      </c>
      <c r="E12" s="16">
        <v>600</v>
      </c>
      <c r="F12" s="16"/>
      <c r="H12" s="16">
        <v>968</v>
      </c>
      <c r="K12" s="39">
        <f>8200</f>
        <v>8200</v>
      </c>
      <c r="L12" s="40"/>
      <c r="M12" s="40"/>
      <c r="N12" s="40"/>
      <c r="O12" s="40"/>
      <c r="P12" s="40">
        <v>1000</v>
      </c>
      <c r="Q12" s="40" t="s">
        <v>300</v>
      </c>
      <c r="R12" s="40">
        <v>4000</v>
      </c>
      <c r="S12" s="40" t="s">
        <v>95</v>
      </c>
      <c r="T12" s="40"/>
      <c r="U12" s="40"/>
      <c r="V12" s="40">
        <v>3200</v>
      </c>
      <c r="W12" s="40" t="s">
        <v>39</v>
      </c>
      <c r="X12" s="40"/>
      <c r="Y12" s="40"/>
      <c r="Z12" s="44"/>
      <c r="AL12" s="41">
        <f t="shared" si="0"/>
        <v>8200</v>
      </c>
      <c r="AM12" s="42">
        <f t="shared" si="1"/>
        <v>0</v>
      </c>
    </row>
    <row r="13" spans="1:39" ht="21" x14ac:dyDescent="0.35">
      <c r="A13" s="38">
        <v>9</v>
      </c>
      <c r="B13" s="38">
        <v>202501010</v>
      </c>
      <c r="C13" s="12" t="s">
        <v>232</v>
      </c>
      <c r="D13" s="12" t="s">
        <v>344</v>
      </c>
      <c r="E13" s="16">
        <f>600+600</f>
        <v>1200</v>
      </c>
      <c r="F13" s="16">
        <v>270</v>
      </c>
      <c r="H13" s="16">
        <v>968</v>
      </c>
      <c r="K13" s="39">
        <f>8200</f>
        <v>8200</v>
      </c>
      <c r="L13" s="40"/>
      <c r="M13" s="40"/>
      <c r="N13" s="40"/>
      <c r="O13" s="40"/>
      <c r="P13" s="40">
        <v>5000</v>
      </c>
      <c r="Q13" s="40" t="s">
        <v>272</v>
      </c>
      <c r="R13" s="40">
        <v>1470</v>
      </c>
      <c r="S13" s="40" t="s">
        <v>289</v>
      </c>
      <c r="T13" s="40">
        <v>1730</v>
      </c>
      <c r="U13" s="40" t="s">
        <v>78</v>
      </c>
      <c r="V13" s="40"/>
      <c r="W13" s="40"/>
      <c r="X13" s="40"/>
      <c r="Y13" s="40"/>
      <c r="Z13" s="44"/>
      <c r="AL13" s="41">
        <f t="shared" si="0"/>
        <v>8200</v>
      </c>
      <c r="AM13" s="42">
        <f t="shared" si="1"/>
        <v>0</v>
      </c>
    </row>
    <row r="14" spans="1:39" ht="21" x14ac:dyDescent="0.35">
      <c r="A14" s="38">
        <v>10</v>
      </c>
      <c r="B14" s="38">
        <v>202501011</v>
      </c>
      <c r="C14" s="12" t="s">
        <v>345</v>
      </c>
      <c r="D14" s="12" t="s">
        <v>346</v>
      </c>
      <c r="E14" s="16">
        <v>600</v>
      </c>
      <c r="F14" s="16">
        <v>270</v>
      </c>
      <c r="H14" s="16">
        <v>968</v>
      </c>
      <c r="I14" s="16">
        <v>364</v>
      </c>
      <c r="K14" s="39">
        <f>8200</f>
        <v>8200</v>
      </c>
      <c r="L14" s="40"/>
      <c r="M14" s="40"/>
      <c r="N14" s="40"/>
      <c r="O14" s="40"/>
      <c r="P14" s="40"/>
      <c r="Q14" s="40"/>
      <c r="R14" s="40"/>
      <c r="S14" s="40"/>
      <c r="T14" s="40">
        <v>1000</v>
      </c>
      <c r="U14" s="40" t="s">
        <v>248</v>
      </c>
      <c r="V14" s="40">
        <v>1500</v>
      </c>
      <c r="W14" s="40" t="s">
        <v>78</v>
      </c>
      <c r="X14" s="40">
        <v>2000</v>
      </c>
      <c r="Y14" s="40" t="s">
        <v>566</v>
      </c>
      <c r="Z14" s="44">
        <v>1500</v>
      </c>
      <c r="AL14" s="41">
        <f>L14+N14+P14+R14+T14+V14+X14+Z14+AB14+AD14+AF14+AH14+AJ14</f>
        <v>6000</v>
      </c>
      <c r="AM14" s="42">
        <f t="shared" si="1"/>
        <v>2200</v>
      </c>
    </row>
    <row r="15" spans="1:39" ht="21" x14ac:dyDescent="0.35">
      <c r="A15" s="38">
        <v>11</v>
      </c>
      <c r="B15" s="38">
        <v>202501013</v>
      </c>
      <c r="C15" s="12" t="s">
        <v>347</v>
      </c>
      <c r="D15" s="12" t="s">
        <v>348</v>
      </c>
      <c r="E15" s="16">
        <v>600</v>
      </c>
      <c r="F15" s="16">
        <v>270</v>
      </c>
      <c r="H15" s="43">
        <f>1332-364</f>
        <v>968</v>
      </c>
      <c r="I15" s="16">
        <v>364</v>
      </c>
      <c r="J15" s="16">
        <v>100</v>
      </c>
      <c r="K15" s="39">
        <f>8200</f>
        <v>8200</v>
      </c>
      <c r="L15" s="40"/>
      <c r="M15" s="40"/>
      <c r="N15" s="40">
        <v>2000</v>
      </c>
      <c r="O15" s="40" t="s">
        <v>55</v>
      </c>
      <c r="P15" s="40">
        <v>2100</v>
      </c>
      <c r="Q15" s="40" t="s">
        <v>282</v>
      </c>
      <c r="R15" s="40">
        <v>2100</v>
      </c>
      <c r="S15" s="40" t="s">
        <v>268</v>
      </c>
      <c r="T15" s="40"/>
      <c r="U15" s="40"/>
      <c r="V15" s="40">
        <v>2000</v>
      </c>
      <c r="W15" s="40"/>
      <c r="X15" s="40"/>
      <c r="Y15" s="40"/>
      <c r="Z15" s="40"/>
      <c r="AA15" s="12"/>
      <c r="AL15" s="41">
        <f t="shared" si="0"/>
        <v>8200</v>
      </c>
      <c r="AM15" s="42">
        <f t="shared" si="1"/>
        <v>0</v>
      </c>
    </row>
    <row r="16" spans="1:39" ht="21" x14ac:dyDescent="0.35">
      <c r="A16" s="38">
        <v>12</v>
      </c>
      <c r="B16" s="38">
        <v>202501014</v>
      </c>
      <c r="C16" s="12" t="s">
        <v>342</v>
      </c>
      <c r="D16" s="12" t="s">
        <v>349</v>
      </c>
      <c r="E16" s="16">
        <v>600</v>
      </c>
      <c r="F16" s="16">
        <v>270</v>
      </c>
      <c r="H16" s="16">
        <v>968</v>
      </c>
      <c r="K16" s="39">
        <f>8200</f>
        <v>8200</v>
      </c>
      <c r="L16" s="40"/>
      <c r="M16" s="40"/>
      <c r="N16" s="40"/>
      <c r="O16" s="40"/>
      <c r="P16" s="40">
        <v>4200</v>
      </c>
      <c r="Q16" s="40" t="s">
        <v>104</v>
      </c>
      <c r="R16" s="40"/>
      <c r="S16" s="40"/>
      <c r="T16" s="40">
        <v>2500</v>
      </c>
      <c r="U16" s="40" t="s">
        <v>155</v>
      </c>
      <c r="V16" s="40">
        <v>1500</v>
      </c>
      <c r="W16" s="40" t="s">
        <v>53</v>
      </c>
      <c r="X16" s="40"/>
      <c r="Y16" s="40"/>
      <c r="Z16" s="44"/>
      <c r="AL16" s="41">
        <f t="shared" si="0"/>
        <v>8200</v>
      </c>
      <c r="AM16" s="42">
        <f t="shared" si="1"/>
        <v>0</v>
      </c>
    </row>
    <row r="17" spans="1:39" ht="21" x14ac:dyDescent="0.35">
      <c r="A17" s="38">
        <v>13</v>
      </c>
      <c r="B17" s="38">
        <v>202501016</v>
      </c>
      <c r="C17" s="12" t="s">
        <v>350</v>
      </c>
      <c r="D17" s="12" t="s">
        <v>351</v>
      </c>
      <c r="E17" s="16">
        <v>600</v>
      </c>
      <c r="F17" s="16"/>
      <c r="H17" s="16">
        <v>968</v>
      </c>
      <c r="K17" s="39">
        <f>8200</f>
        <v>8200</v>
      </c>
      <c r="L17" s="40"/>
      <c r="M17" s="40"/>
      <c r="N17" s="40">
        <v>2000</v>
      </c>
      <c r="O17" s="40" t="s">
        <v>278</v>
      </c>
      <c r="P17" s="40">
        <v>2100</v>
      </c>
      <c r="Q17" s="40" t="s">
        <v>278</v>
      </c>
      <c r="R17" s="40">
        <v>1000</v>
      </c>
      <c r="S17" s="40" t="s">
        <v>289</v>
      </c>
      <c r="T17" s="40">
        <v>3100</v>
      </c>
      <c r="U17" s="40" t="s">
        <v>352</v>
      </c>
      <c r="V17" s="40"/>
      <c r="W17" s="40"/>
      <c r="X17" s="40"/>
      <c r="Y17" s="40"/>
      <c r="Z17" s="44"/>
      <c r="AL17" s="41">
        <f t="shared" si="0"/>
        <v>8200</v>
      </c>
      <c r="AM17" s="42">
        <f t="shared" si="1"/>
        <v>0</v>
      </c>
    </row>
    <row r="18" spans="1:39" ht="21" x14ac:dyDescent="0.35">
      <c r="A18" s="38">
        <v>14</v>
      </c>
      <c r="B18" s="38">
        <v>202501017</v>
      </c>
      <c r="C18" s="12" t="s">
        <v>340</v>
      </c>
      <c r="D18" s="12" t="s">
        <v>353</v>
      </c>
      <c r="E18" s="16">
        <v>600</v>
      </c>
      <c r="F18" s="16"/>
      <c r="H18" s="16">
        <v>968</v>
      </c>
      <c r="I18" s="16">
        <v>332</v>
      </c>
      <c r="J18" s="16">
        <v>100</v>
      </c>
      <c r="K18" s="39">
        <f>8200</f>
        <v>8200</v>
      </c>
      <c r="L18" s="40">
        <v>1000</v>
      </c>
      <c r="M18" s="40" t="s">
        <v>61</v>
      </c>
      <c r="N18" s="40">
        <v>1000</v>
      </c>
      <c r="O18" s="40" t="s">
        <v>61</v>
      </c>
      <c r="P18" s="40">
        <v>3000</v>
      </c>
      <c r="Q18" s="40" t="s">
        <v>300</v>
      </c>
      <c r="R18" s="40">
        <v>2200</v>
      </c>
      <c r="S18" s="40" t="s">
        <v>95</v>
      </c>
      <c r="T18" s="40">
        <v>1000</v>
      </c>
      <c r="U18" s="40" t="s">
        <v>81</v>
      </c>
      <c r="V18" s="40"/>
      <c r="W18" s="40"/>
      <c r="X18" s="40"/>
      <c r="Y18" s="40"/>
      <c r="Z18" s="44"/>
      <c r="AL18" s="41">
        <f>L18+N18+P18+R18+T18+V18+X18+Z18+AB18+AD18+AF18+AH18+AJ18</f>
        <v>8200</v>
      </c>
      <c r="AM18" s="42">
        <f t="shared" si="1"/>
        <v>0</v>
      </c>
    </row>
    <row r="19" spans="1:39" ht="21" x14ac:dyDescent="0.35">
      <c r="A19" s="38">
        <v>15</v>
      </c>
      <c r="B19" s="38">
        <v>202501018</v>
      </c>
      <c r="C19" s="12" t="s">
        <v>354</v>
      </c>
      <c r="D19" s="12" t="s">
        <v>154</v>
      </c>
      <c r="E19" s="16">
        <v>1200</v>
      </c>
      <c r="F19" s="16">
        <v>270</v>
      </c>
      <c r="H19" s="16">
        <v>968</v>
      </c>
      <c r="K19" s="39">
        <f>8200</f>
        <v>8200</v>
      </c>
      <c r="L19" s="40">
        <v>2000</v>
      </c>
      <c r="M19" s="40" t="s">
        <v>355</v>
      </c>
      <c r="N19" s="40">
        <v>2000</v>
      </c>
      <c r="O19" s="40" t="s">
        <v>23</v>
      </c>
      <c r="P19" s="40"/>
      <c r="Q19" s="40"/>
      <c r="R19" s="40">
        <v>2000</v>
      </c>
      <c r="S19" s="40" t="s">
        <v>289</v>
      </c>
      <c r="T19" s="40">
        <v>1200</v>
      </c>
      <c r="U19" s="40" t="s">
        <v>193</v>
      </c>
      <c r="V19" s="40">
        <v>1000</v>
      </c>
      <c r="W19" s="40" t="s">
        <v>95</v>
      </c>
      <c r="X19" s="40"/>
      <c r="Y19" s="40"/>
      <c r="Z19" s="40"/>
      <c r="AA19" s="12"/>
      <c r="AL19" s="41">
        <f t="shared" si="0"/>
        <v>8200</v>
      </c>
      <c r="AM19" s="42">
        <f t="shared" si="1"/>
        <v>0</v>
      </c>
    </row>
    <row r="20" spans="1:39" ht="21" x14ac:dyDescent="0.35">
      <c r="A20" s="38">
        <v>16</v>
      </c>
      <c r="B20" s="38">
        <v>202501019</v>
      </c>
      <c r="C20" s="12" t="s">
        <v>59</v>
      </c>
      <c r="D20" s="12" t="s">
        <v>356</v>
      </c>
      <c r="E20" s="16">
        <v>600</v>
      </c>
      <c r="F20" s="16">
        <v>270</v>
      </c>
      <c r="H20" s="16">
        <v>968</v>
      </c>
      <c r="K20" s="39">
        <f>8200</f>
        <v>8200</v>
      </c>
      <c r="L20" s="40"/>
      <c r="M20" s="40"/>
      <c r="N20" s="40"/>
      <c r="O20" s="40"/>
      <c r="P20" s="40"/>
      <c r="Q20" s="40"/>
      <c r="R20" s="40">
        <v>2200</v>
      </c>
      <c r="S20" s="40" t="s">
        <v>224</v>
      </c>
      <c r="T20" s="40">
        <v>4000</v>
      </c>
      <c r="U20" s="40" t="s">
        <v>138</v>
      </c>
      <c r="V20" s="40"/>
      <c r="W20" s="40"/>
      <c r="X20" s="40"/>
      <c r="Y20" s="40"/>
      <c r="Z20" s="44"/>
      <c r="AL20" s="41">
        <f t="shared" si="0"/>
        <v>6200</v>
      </c>
      <c r="AM20" s="42">
        <f t="shared" si="1"/>
        <v>2000</v>
      </c>
    </row>
    <row r="21" spans="1:39" ht="21" x14ac:dyDescent="0.35">
      <c r="A21" s="38">
        <v>17</v>
      </c>
      <c r="B21" s="38">
        <v>202501020</v>
      </c>
      <c r="C21" s="12" t="s">
        <v>97</v>
      </c>
      <c r="D21" s="12" t="s">
        <v>357</v>
      </c>
      <c r="E21" s="16"/>
      <c r="F21" s="16"/>
      <c r="H21" s="16">
        <v>968</v>
      </c>
      <c r="K21" s="39">
        <f>8200</f>
        <v>8200</v>
      </c>
      <c r="L21" s="40"/>
      <c r="M21" s="40"/>
      <c r="N21" s="40">
        <v>8000</v>
      </c>
      <c r="O21" s="40" t="s">
        <v>358</v>
      </c>
      <c r="P21" s="40"/>
      <c r="Q21" s="40"/>
      <c r="R21" s="40"/>
      <c r="S21" s="40"/>
      <c r="T21" s="40"/>
      <c r="U21" s="40"/>
      <c r="V21" s="40">
        <v>200</v>
      </c>
      <c r="W21" s="40" t="s">
        <v>68</v>
      </c>
      <c r="X21" s="40"/>
      <c r="Y21" s="40"/>
      <c r="Z21" s="44"/>
      <c r="AL21" s="41">
        <f t="shared" si="0"/>
        <v>8200</v>
      </c>
      <c r="AM21" s="42">
        <f t="shared" si="1"/>
        <v>0</v>
      </c>
    </row>
    <row r="22" spans="1:39" ht="21" x14ac:dyDescent="0.35">
      <c r="A22" s="38">
        <v>18</v>
      </c>
      <c r="B22" s="38">
        <v>202501021</v>
      </c>
      <c r="C22" s="12" t="s">
        <v>187</v>
      </c>
      <c r="D22" s="12" t="s">
        <v>132</v>
      </c>
      <c r="E22" s="16">
        <v>600</v>
      </c>
      <c r="F22" s="16">
        <v>270</v>
      </c>
      <c r="H22" s="16">
        <v>968</v>
      </c>
      <c r="K22" s="39">
        <f>8200</f>
        <v>8200</v>
      </c>
      <c r="L22" s="40"/>
      <c r="M22" s="40"/>
      <c r="N22" s="40">
        <v>4200</v>
      </c>
      <c r="O22" s="40" t="s">
        <v>23</v>
      </c>
      <c r="P22" s="40">
        <v>4000</v>
      </c>
      <c r="Q22" s="40" t="s">
        <v>104</v>
      </c>
      <c r="R22" s="40"/>
      <c r="S22" s="40"/>
      <c r="T22" s="40"/>
      <c r="U22" s="40"/>
      <c r="V22" s="40"/>
      <c r="W22" s="40"/>
      <c r="X22" s="40"/>
      <c r="Y22" s="40"/>
      <c r="Z22" s="44"/>
      <c r="AL22" s="41">
        <f t="shared" si="0"/>
        <v>8200</v>
      </c>
      <c r="AM22" s="42">
        <f t="shared" si="1"/>
        <v>0</v>
      </c>
    </row>
    <row r="23" spans="1:39" ht="21" x14ac:dyDescent="0.35">
      <c r="A23" s="38">
        <v>19</v>
      </c>
      <c r="B23" s="38">
        <v>202501022</v>
      </c>
      <c r="C23" s="12" t="s">
        <v>359</v>
      </c>
      <c r="D23" s="12" t="s">
        <v>119</v>
      </c>
      <c r="E23" s="16">
        <v>600</v>
      </c>
      <c r="F23" s="16"/>
      <c r="H23" s="16">
        <v>968</v>
      </c>
      <c r="K23" s="39">
        <f>8200</f>
        <v>8200</v>
      </c>
      <c r="L23" s="40"/>
      <c r="M23" s="40"/>
      <c r="N23" s="40">
        <v>2000</v>
      </c>
      <c r="O23" s="40" t="s">
        <v>360</v>
      </c>
      <c r="P23" s="40">
        <v>2000</v>
      </c>
      <c r="Q23" s="40" t="s">
        <v>278</v>
      </c>
      <c r="R23" s="40">
        <v>1000</v>
      </c>
      <c r="S23" s="40" t="s">
        <v>361</v>
      </c>
      <c r="T23" s="40">
        <v>3200</v>
      </c>
      <c r="U23" s="40" t="s">
        <v>352</v>
      </c>
      <c r="V23" s="40"/>
      <c r="W23" s="40"/>
      <c r="X23" s="40"/>
      <c r="Y23" s="40"/>
      <c r="Z23" s="40"/>
      <c r="AA23" s="12"/>
      <c r="AL23" s="41">
        <f t="shared" si="0"/>
        <v>8200</v>
      </c>
      <c r="AM23" s="42">
        <f t="shared" si="1"/>
        <v>0</v>
      </c>
    </row>
    <row r="24" spans="1:39" ht="21" x14ac:dyDescent="0.35">
      <c r="A24" s="38">
        <v>20</v>
      </c>
      <c r="B24" s="38">
        <v>202501023</v>
      </c>
      <c r="C24" s="12" t="s">
        <v>209</v>
      </c>
      <c r="D24" s="12" t="s">
        <v>274</v>
      </c>
      <c r="E24" s="16">
        <v>400</v>
      </c>
      <c r="F24" s="16"/>
      <c r="H24" s="43">
        <f>1332-364</f>
        <v>968</v>
      </c>
      <c r="I24" s="16">
        <v>364</v>
      </c>
      <c r="K24" s="39">
        <f>8200</f>
        <v>8200</v>
      </c>
      <c r="L24" s="40">
        <v>4000</v>
      </c>
      <c r="M24" s="40" t="s">
        <v>182</v>
      </c>
      <c r="N24" s="40">
        <v>2000</v>
      </c>
      <c r="O24" s="40" t="s">
        <v>50</v>
      </c>
      <c r="P24" s="40">
        <v>2100</v>
      </c>
      <c r="Q24" s="40" t="s">
        <v>272</v>
      </c>
      <c r="R24" s="40">
        <v>100</v>
      </c>
      <c r="S24" s="40"/>
      <c r="T24" s="40"/>
      <c r="U24" s="40"/>
      <c r="V24" s="40"/>
      <c r="W24" s="40"/>
      <c r="X24" s="40"/>
      <c r="Y24" s="40"/>
      <c r="Z24" s="44"/>
      <c r="AL24" s="41">
        <f t="shared" si="0"/>
        <v>8200</v>
      </c>
      <c r="AM24" s="42">
        <f t="shared" si="1"/>
        <v>0</v>
      </c>
    </row>
    <row r="25" spans="1:39" ht="21" x14ac:dyDescent="0.35">
      <c r="A25" s="38">
        <v>21</v>
      </c>
      <c r="B25" s="38">
        <v>202501024</v>
      </c>
      <c r="C25" s="12" t="s">
        <v>100</v>
      </c>
      <c r="D25" s="12" t="s">
        <v>362</v>
      </c>
      <c r="E25" s="16">
        <v>600</v>
      </c>
      <c r="F25" s="16">
        <v>270</v>
      </c>
      <c r="H25" s="16">
        <v>968</v>
      </c>
      <c r="I25" s="16">
        <v>364</v>
      </c>
      <c r="K25" s="39">
        <f>8200</f>
        <v>8200</v>
      </c>
      <c r="L25" s="40"/>
      <c r="M25" s="40"/>
      <c r="N25" s="40"/>
      <c r="O25" s="40"/>
      <c r="P25" s="40">
        <v>4000</v>
      </c>
      <c r="Q25" s="40" t="s">
        <v>221</v>
      </c>
      <c r="R25" s="40">
        <v>4200</v>
      </c>
      <c r="S25" s="40" t="s">
        <v>78</v>
      </c>
      <c r="T25" s="40"/>
      <c r="U25" s="40"/>
      <c r="V25" s="40"/>
      <c r="W25" s="40"/>
      <c r="X25" s="40"/>
      <c r="Y25" s="40"/>
      <c r="Z25" s="44"/>
      <c r="AL25" s="41">
        <f>L25+N25+P25+R25+T25+V25+X25+Z25+AB25+AD25+AF25+AH25+AJ25</f>
        <v>8200</v>
      </c>
      <c r="AM25" s="42">
        <f t="shared" si="1"/>
        <v>0</v>
      </c>
    </row>
    <row r="26" spans="1:39" ht="21" x14ac:dyDescent="0.35">
      <c r="A26" s="38">
        <v>22</v>
      </c>
      <c r="B26" s="38">
        <v>202501025</v>
      </c>
      <c r="C26" s="12" t="s">
        <v>363</v>
      </c>
      <c r="D26" s="12" t="s">
        <v>364</v>
      </c>
      <c r="E26" s="16">
        <v>600</v>
      </c>
      <c r="F26" s="16"/>
      <c r="H26" s="16">
        <v>968</v>
      </c>
      <c r="I26" s="16">
        <v>364</v>
      </c>
      <c r="K26" s="39">
        <f>8200</f>
        <v>8200</v>
      </c>
      <c r="L26" s="40"/>
      <c r="M26" s="40"/>
      <c r="N26" s="40"/>
      <c r="O26" s="40"/>
      <c r="P26" s="40">
        <v>1000</v>
      </c>
      <c r="Q26" s="40"/>
      <c r="R26" s="40">
        <v>2000</v>
      </c>
      <c r="S26" s="40" t="s">
        <v>238</v>
      </c>
      <c r="T26" s="40">
        <v>1000</v>
      </c>
      <c r="U26" s="40" t="s">
        <v>24</v>
      </c>
      <c r="V26" s="40">
        <v>3100</v>
      </c>
      <c r="W26" s="40" t="s">
        <v>53</v>
      </c>
      <c r="X26" s="40">
        <v>1100</v>
      </c>
      <c r="Y26" s="40" t="s">
        <v>108</v>
      </c>
      <c r="Z26" s="44"/>
      <c r="AL26" s="41">
        <f t="shared" si="0"/>
        <v>8200</v>
      </c>
      <c r="AM26" s="42">
        <f t="shared" si="1"/>
        <v>0</v>
      </c>
    </row>
    <row r="27" spans="1:39" ht="21" x14ac:dyDescent="0.35">
      <c r="A27" s="38">
        <v>23</v>
      </c>
      <c r="B27" s="38">
        <v>202501026</v>
      </c>
      <c r="C27" s="12" t="s">
        <v>342</v>
      </c>
      <c r="D27" s="12" t="s">
        <v>27</v>
      </c>
      <c r="E27" s="16">
        <v>600</v>
      </c>
      <c r="F27" s="16"/>
      <c r="H27" s="43">
        <f>1332-364</f>
        <v>968</v>
      </c>
      <c r="I27" s="16">
        <v>364</v>
      </c>
      <c r="K27" s="39">
        <f>8200</f>
        <v>8200</v>
      </c>
      <c r="L27" s="40">
        <v>4000</v>
      </c>
      <c r="M27" s="40" t="s">
        <v>50</v>
      </c>
      <c r="N27" s="40">
        <v>1000</v>
      </c>
      <c r="O27" s="40" t="s">
        <v>50</v>
      </c>
      <c r="P27" s="40"/>
      <c r="Q27" s="40"/>
      <c r="R27" s="40">
        <v>1000</v>
      </c>
      <c r="S27" s="40" t="s">
        <v>193</v>
      </c>
      <c r="T27" s="40">
        <v>2200</v>
      </c>
      <c r="U27" s="40" t="s">
        <v>78</v>
      </c>
      <c r="V27" s="40"/>
      <c r="W27" s="40"/>
      <c r="X27" s="40"/>
      <c r="Y27" s="40"/>
      <c r="Z27" s="44"/>
      <c r="AL27" s="41">
        <f>L27+N27+P27+R27+T27+V27+X27+Z27+AB27+AD27+AF27+AH27+AJ27</f>
        <v>8200</v>
      </c>
      <c r="AM27" s="42">
        <f t="shared" si="1"/>
        <v>0</v>
      </c>
    </row>
    <row r="28" spans="1:39" ht="21" x14ac:dyDescent="0.35">
      <c r="A28" s="38">
        <v>24</v>
      </c>
      <c r="B28" s="38">
        <v>202501027</v>
      </c>
      <c r="C28" s="12" t="s">
        <v>255</v>
      </c>
      <c r="D28" s="12" t="s">
        <v>365</v>
      </c>
      <c r="E28" s="16">
        <v>600</v>
      </c>
      <c r="F28" s="16">
        <v>270</v>
      </c>
      <c r="H28" s="16">
        <v>968</v>
      </c>
      <c r="K28" s="39">
        <f>8200</f>
        <v>8200</v>
      </c>
      <c r="L28" s="40">
        <v>2000</v>
      </c>
      <c r="M28" s="40" t="s">
        <v>71</v>
      </c>
      <c r="N28" s="40">
        <v>1000</v>
      </c>
      <c r="O28" s="40" t="s">
        <v>51</v>
      </c>
      <c r="P28" s="40">
        <v>1000</v>
      </c>
      <c r="Q28" s="40" t="s">
        <v>104</v>
      </c>
      <c r="R28" s="40">
        <v>100</v>
      </c>
      <c r="S28" s="40" t="s">
        <v>104</v>
      </c>
      <c r="T28" s="40">
        <v>1000</v>
      </c>
      <c r="U28" s="40" t="s">
        <v>257</v>
      </c>
      <c r="V28" s="40">
        <v>1000</v>
      </c>
      <c r="W28" s="40" t="s">
        <v>289</v>
      </c>
      <c r="X28" s="40">
        <v>2100</v>
      </c>
      <c r="Y28" s="40" t="s">
        <v>53</v>
      </c>
      <c r="Z28" s="40"/>
      <c r="AA28" s="12"/>
      <c r="AB28" s="12"/>
      <c r="AC28" s="12"/>
      <c r="AD28" s="12"/>
      <c r="AE28" s="12"/>
      <c r="AL28" s="41">
        <f>L28+N28+P28+R28+T28+V28+X28+Z28+AB28+AD28+AF28+AH28+AJ28</f>
        <v>8200</v>
      </c>
      <c r="AM28" s="42">
        <f t="shared" si="1"/>
        <v>0</v>
      </c>
    </row>
    <row r="29" spans="1:39" ht="21" x14ac:dyDescent="0.35">
      <c r="A29" s="38">
        <v>25</v>
      </c>
      <c r="B29" s="38">
        <v>202501028</v>
      </c>
      <c r="C29" s="12" t="s">
        <v>261</v>
      </c>
      <c r="D29" s="12" t="s">
        <v>366</v>
      </c>
      <c r="E29" s="16"/>
      <c r="F29" s="16"/>
      <c r="H29" s="43">
        <f>1332-364</f>
        <v>968</v>
      </c>
      <c r="I29" s="16">
        <v>364</v>
      </c>
      <c r="K29" s="39">
        <f>8200</f>
        <v>8200</v>
      </c>
      <c r="L29" s="40"/>
      <c r="M29" s="40"/>
      <c r="N29" s="40"/>
      <c r="O29" s="40"/>
      <c r="P29" s="40"/>
      <c r="Q29" s="40"/>
      <c r="R29" s="40">
        <v>600</v>
      </c>
      <c r="S29" s="40" t="s">
        <v>282</v>
      </c>
      <c r="T29" s="40">
        <v>3000</v>
      </c>
      <c r="U29" s="40" t="s">
        <v>367</v>
      </c>
      <c r="V29" s="40">
        <v>2000</v>
      </c>
      <c r="W29" s="40" t="s">
        <v>368</v>
      </c>
      <c r="X29" s="40">
        <v>2200</v>
      </c>
      <c r="Y29" s="40" t="s">
        <v>95</v>
      </c>
      <c r="Z29" s="40">
        <v>400</v>
      </c>
      <c r="AA29" s="12" t="s">
        <v>68</v>
      </c>
      <c r="AB29" s="12"/>
      <c r="AC29" s="12"/>
      <c r="AL29" s="41">
        <f>L29+N29+P29+R29+T29+V29+X29+Z29+AB29+AD29+AF29+AH29+AJ29</f>
        <v>8200</v>
      </c>
      <c r="AM29" s="42">
        <f t="shared" si="1"/>
        <v>0</v>
      </c>
    </row>
    <row r="30" spans="1:39" ht="21" x14ac:dyDescent="0.35">
      <c r="A30" s="38">
        <v>26</v>
      </c>
      <c r="B30" s="38">
        <v>202501029</v>
      </c>
      <c r="C30" s="12" t="s">
        <v>369</v>
      </c>
      <c r="D30" s="12" t="s">
        <v>370</v>
      </c>
      <c r="E30" s="16">
        <v>600</v>
      </c>
      <c r="F30" s="16">
        <v>270</v>
      </c>
      <c r="H30" s="43">
        <f>1332-364</f>
        <v>968</v>
      </c>
      <c r="I30" s="16">
        <v>364</v>
      </c>
      <c r="K30" s="39">
        <f>8200</f>
        <v>8200</v>
      </c>
      <c r="L30" s="40"/>
      <c r="M30" s="40"/>
      <c r="N30" s="40">
        <v>2000</v>
      </c>
      <c r="O30" s="40" t="s">
        <v>178</v>
      </c>
      <c r="P30" s="40">
        <v>2000</v>
      </c>
      <c r="Q30" s="40" t="s">
        <v>224</v>
      </c>
      <c r="R30" s="40">
        <v>1600</v>
      </c>
      <c r="S30" s="40" t="s">
        <v>371</v>
      </c>
      <c r="T30" s="40">
        <v>2000</v>
      </c>
      <c r="U30" s="40" t="s">
        <v>117</v>
      </c>
      <c r="V30" s="40">
        <v>600</v>
      </c>
      <c r="W30" s="40" t="s">
        <v>372</v>
      </c>
      <c r="X30" s="40"/>
      <c r="Y30" s="40"/>
      <c r="Z30" s="44"/>
      <c r="AL30" s="41">
        <f>L30+N30+P30+R30+T30+V30+X30+Z30+AB30+AD30+AF30+AH30+AJ30</f>
        <v>8200</v>
      </c>
      <c r="AM30" s="42">
        <f t="shared" si="1"/>
        <v>0</v>
      </c>
    </row>
    <row r="31" spans="1:39" ht="21" x14ac:dyDescent="0.35">
      <c r="A31" s="38">
        <v>27</v>
      </c>
      <c r="B31" s="38">
        <v>202501030</v>
      </c>
      <c r="C31" s="12" t="s">
        <v>373</v>
      </c>
      <c r="D31" s="12" t="s">
        <v>374</v>
      </c>
      <c r="E31" s="16">
        <v>600</v>
      </c>
      <c r="F31" s="16"/>
      <c r="H31" s="16">
        <v>968</v>
      </c>
      <c r="I31" s="16">
        <v>364</v>
      </c>
      <c r="K31" s="39">
        <f>8200</f>
        <v>8200</v>
      </c>
      <c r="L31" s="40"/>
      <c r="M31" s="40"/>
      <c r="N31" s="40"/>
      <c r="O31" s="40"/>
      <c r="P31" s="40">
        <v>3700</v>
      </c>
      <c r="Q31" s="40" t="s">
        <v>238</v>
      </c>
      <c r="R31" s="40">
        <v>300</v>
      </c>
      <c r="S31" s="40" t="s">
        <v>221</v>
      </c>
      <c r="T31" s="40">
        <v>2000</v>
      </c>
      <c r="U31" s="40" t="s">
        <v>289</v>
      </c>
      <c r="V31" s="40">
        <v>2200</v>
      </c>
      <c r="W31" s="40" t="s">
        <v>78</v>
      </c>
      <c r="X31" s="40"/>
      <c r="Y31" s="40"/>
      <c r="Z31" s="44"/>
      <c r="AL31" s="41">
        <f>L31+N31+P31+R31+T31+V31+X31+Z31+AB31+AD31+AF31+AH31+AJ31</f>
        <v>8200</v>
      </c>
      <c r="AM31" s="42">
        <f t="shared" si="1"/>
        <v>0</v>
      </c>
    </row>
    <row r="32" spans="1:39" ht="21" x14ac:dyDescent="0.35">
      <c r="A32" s="38">
        <v>28</v>
      </c>
      <c r="B32" s="38">
        <v>202501031</v>
      </c>
      <c r="C32" s="12" t="s">
        <v>375</v>
      </c>
      <c r="D32" s="12" t="s">
        <v>119</v>
      </c>
      <c r="E32" s="16"/>
      <c r="F32" s="16"/>
      <c r="H32" s="16">
        <v>968</v>
      </c>
      <c r="K32" s="39">
        <f>8200</f>
        <v>8200</v>
      </c>
      <c r="L32" s="40">
        <v>1000</v>
      </c>
      <c r="M32" s="40" t="s">
        <v>238</v>
      </c>
      <c r="N32" s="40">
        <v>1000</v>
      </c>
      <c r="O32" s="40" t="s">
        <v>238</v>
      </c>
      <c r="P32" s="40">
        <v>2000</v>
      </c>
      <c r="Q32" s="40" t="s">
        <v>238</v>
      </c>
      <c r="R32" s="40">
        <v>2000</v>
      </c>
      <c r="S32" s="40" t="s">
        <v>289</v>
      </c>
      <c r="T32" s="40">
        <v>1500</v>
      </c>
      <c r="U32" s="40" t="s">
        <v>376</v>
      </c>
      <c r="V32" s="40">
        <v>700</v>
      </c>
      <c r="W32" s="40" t="s">
        <v>58</v>
      </c>
      <c r="X32" s="40"/>
      <c r="Y32" s="40"/>
      <c r="Z32" s="40"/>
      <c r="AA32" s="12"/>
      <c r="AL32" s="41">
        <f t="shared" si="0"/>
        <v>8200</v>
      </c>
      <c r="AM32" s="42">
        <f t="shared" si="1"/>
        <v>0</v>
      </c>
    </row>
    <row r="33" spans="1:39" ht="21" x14ac:dyDescent="0.35">
      <c r="A33" s="38">
        <v>29</v>
      </c>
      <c r="B33" s="38">
        <v>202501032</v>
      </c>
      <c r="C33" s="12" t="s">
        <v>377</v>
      </c>
      <c r="D33" s="12" t="s">
        <v>378</v>
      </c>
      <c r="E33" s="16"/>
      <c r="F33" s="16"/>
      <c r="H33" s="16">
        <v>968</v>
      </c>
      <c r="I33" s="16">
        <v>364</v>
      </c>
      <c r="K33" s="39">
        <f>8200</f>
        <v>8200</v>
      </c>
      <c r="L33" s="40"/>
      <c r="M33" s="40"/>
      <c r="N33" s="40"/>
      <c r="O33" s="40"/>
      <c r="P33" s="40">
        <v>1000</v>
      </c>
      <c r="Q33" s="40" t="s">
        <v>238</v>
      </c>
      <c r="R33" s="40"/>
      <c r="S33" s="40"/>
      <c r="T33" s="40"/>
      <c r="U33" s="40"/>
      <c r="V33" s="40">
        <v>7000</v>
      </c>
      <c r="W33" s="40" t="s">
        <v>58</v>
      </c>
      <c r="X33" s="40">
        <v>200</v>
      </c>
      <c r="Y33" s="40" t="s">
        <v>379</v>
      </c>
      <c r="Z33" s="44"/>
      <c r="AL33" s="41">
        <f t="shared" si="0"/>
        <v>8200</v>
      </c>
      <c r="AM33" s="42">
        <f t="shared" si="1"/>
        <v>0</v>
      </c>
    </row>
    <row r="34" spans="1:39" ht="21" x14ac:dyDescent="0.35">
      <c r="A34" s="38">
        <v>30</v>
      </c>
      <c r="B34" s="38">
        <v>202501034</v>
      </c>
      <c r="C34" s="12" t="s">
        <v>380</v>
      </c>
      <c r="D34" s="12" t="s">
        <v>381</v>
      </c>
      <c r="E34" s="16">
        <v>600</v>
      </c>
      <c r="F34" s="16"/>
      <c r="H34" s="16">
        <v>968</v>
      </c>
      <c r="K34" s="39">
        <f>8200</f>
        <v>8200</v>
      </c>
      <c r="L34" s="40"/>
      <c r="M34" s="40"/>
      <c r="N34" s="40"/>
      <c r="O34" s="40"/>
      <c r="P34" s="40">
        <v>4000</v>
      </c>
      <c r="Q34" s="40" t="s">
        <v>145</v>
      </c>
      <c r="R34" s="40">
        <v>2000</v>
      </c>
      <c r="S34" s="40" t="s">
        <v>257</v>
      </c>
      <c r="T34" s="40"/>
      <c r="U34" s="40"/>
      <c r="V34" s="40">
        <v>2200</v>
      </c>
      <c r="W34" s="40" t="s">
        <v>382</v>
      </c>
      <c r="X34" s="40"/>
      <c r="Y34" s="40"/>
      <c r="Z34" s="44"/>
      <c r="AJ34" s="45" t="s">
        <v>383</v>
      </c>
      <c r="AL34" s="46">
        <f>L34+N34+P34+R34+T34+V34+X34</f>
        <v>8200</v>
      </c>
      <c r="AM34" s="42">
        <f t="shared" si="1"/>
        <v>0</v>
      </c>
    </row>
    <row r="35" spans="1:39" ht="21" x14ac:dyDescent="0.35">
      <c r="A35" s="38">
        <v>31</v>
      </c>
      <c r="B35" s="38">
        <v>202501035</v>
      </c>
      <c r="C35" s="12" t="s">
        <v>384</v>
      </c>
      <c r="D35" s="12" t="s">
        <v>385</v>
      </c>
      <c r="E35" s="16"/>
      <c r="F35" s="16"/>
      <c r="H35" s="16">
        <v>968</v>
      </c>
      <c r="I35" s="16">
        <v>364</v>
      </c>
      <c r="K35" s="39">
        <f>8200</f>
        <v>8200</v>
      </c>
      <c r="L35" s="40"/>
      <c r="M35" s="40"/>
      <c r="N35" s="40">
        <v>4000</v>
      </c>
      <c r="O35" s="40" t="s">
        <v>146</v>
      </c>
      <c r="P35" s="40"/>
      <c r="Q35" s="40"/>
      <c r="R35" s="40">
        <v>2500</v>
      </c>
      <c r="S35" s="40" t="s">
        <v>289</v>
      </c>
      <c r="T35" s="40">
        <v>1700</v>
      </c>
      <c r="U35" s="40" t="s">
        <v>95</v>
      </c>
      <c r="V35" s="40"/>
      <c r="W35" s="40"/>
      <c r="X35" s="40"/>
      <c r="Y35" s="40"/>
      <c r="Z35" s="44"/>
      <c r="AL35" s="41">
        <f>L35+N35+P35+R35+T35+V35+X35+Z35+AB35+AD35+AF35+AH35+AJ35</f>
        <v>8200</v>
      </c>
      <c r="AM35" s="42">
        <f>K35-AL35</f>
        <v>0</v>
      </c>
    </row>
    <row r="36" spans="1:39" ht="21" x14ac:dyDescent="0.35">
      <c r="A36" s="38">
        <v>32</v>
      </c>
      <c r="B36" s="38">
        <v>202501036</v>
      </c>
      <c r="C36" s="12" t="s">
        <v>386</v>
      </c>
      <c r="D36" s="12" t="s">
        <v>387</v>
      </c>
      <c r="E36" s="16">
        <v>600</v>
      </c>
      <c r="F36" s="16"/>
      <c r="H36" s="16">
        <v>968</v>
      </c>
      <c r="I36" s="16">
        <v>364</v>
      </c>
      <c r="K36" s="39">
        <f>8200</f>
        <v>8200</v>
      </c>
      <c r="L36" s="40"/>
      <c r="M36" s="40"/>
      <c r="N36" s="40">
        <v>2100</v>
      </c>
      <c r="O36" s="40" t="s">
        <v>122</v>
      </c>
      <c r="P36" s="40">
        <v>2000</v>
      </c>
      <c r="Q36" s="40" t="s">
        <v>104</v>
      </c>
      <c r="R36" s="40">
        <v>2100</v>
      </c>
      <c r="S36" s="40" t="s">
        <v>388</v>
      </c>
      <c r="T36" s="40">
        <v>2000</v>
      </c>
      <c r="U36" s="40" t="s">
        <v>53</v>
      </c>
      <c r="V36" s="40"/>
      <c r="W36" s="40"/>
      <c r="X36" s="40"/>
      <c r="Y36" s="40"/>
      <c r="Z36" s="40"/>
      <c r="AA36" s="12"/>
      <c r="AL36" s="41">
        <f>L36+N36+P36+R36+T36+V36+X36+Z36</f>
        <v>8200</v>
      </c>
      <c r="AM36" s="42">
        <f>K36-AL36</f>
        <v>0</v>
      </c>
    </row>
    <row r="37" spans="1:39" ht="21" x14ac:dyDescent="0.35">
      <c r="A37" s="38">
        <v>33</v>
      </c>
      <c r="B37" s="38">
        <v>202501037</v>
      </c>
      <c r="C37" s="12" t="s">
        <v>389</v>
      </c>
      <c r="D37" s="12" t="s">
        <v>390</v>
      </c>
      <c r="E37" s="16"/>
      <c r="F37" s="16"/>
      <c r="H37" s="16">
        <v>968</v>
      </c>
      <c r="K37" s="39">
        <f>8200</f>
        <v>8200</v>
      </c>
      <c r="L37" s="40"/>
      <c r="M37" s="40"/>
      <c r="N37" s="40">
        <v>4200</v>
      </c>
      <c r="O37" s="40" t="s">
        <v>20</v>
      </c>
      <c r="P37" s="40"/>
      <c r="Q37" s="40"/>
      <c r="R37" s="40">
        <v>2200</v>
      </c>
      <c r="S37" s="40" t="s">
        <v>289</v>
      </c>
      <c r="T37" s="40">
        <v>1800</v>
      </c>
      <c r="U37" s="40" t="s">
        <v>95</v>
      </c>
      <c r="V37" s="40"/>
      <c r="W37" s="40"/>
      <c r="X37" s="40"/>
      <c r="Y37" s="40"/>
      <c r="Z37" s="44"/>
      <c r="AL37" s="41">
        <f>L37+N37+P37+R37+T37</f>
        <v>8200</v>
      </c>
      <c r="AM37" s="42">
        <f>K37-AL37</f>
        <v>0</v>
      </c>
    </row>
    <row r="38" spans="1:39" ht="21" x14ac:dyDescent="0.35">
      <c r="A38" s="38">
        <v>34</v>
      </c>
      <c r="B38" s="38">
        <v>202501038</v>
      </c>
      <c r="C38" s="12" t="s">
        <v>391</v>
      </c>
      <c r="D38" s="12" t="s">
        <v>392</v>
      </c>
      <c r="E38" s="16">
        <f>400+200</f>
        <v>600</v>
      </c>
      <c r="F38" s="16"/>
      <c r="H38" s="16">
        <v>968</v>
      </c>
      <c r="K38" s="39">
        <f>8200</f>
        <v>8200</v>
      </c>
      <c r="L38" s="40"/>
      <c r="M38" s="40"/>
      <c r="N38" s="40">
        <v>2000</v>
      </c>
      <c r="O38" s="40" t="s">
        <v>221</v>
      </c>
      <c r="P38" s="40">
        <v>1500</v>
      </c>
      <c r="Q38" s="40" t="s">
        <v>145</v>
      </c>
      <c r="R38" s="40">
        <v>4500</v>
      </c>
      <c r="S38" s="40" t="s">
        <v>292</v>
      </c>
      <c r="T38" s="40">
        <v>200</v>
      </c>
      <c r="U38" s="40" t="s">
        <v>138</v>
      </c>
      <c r="V38" s="40"/>
      <c r="W38" s="40"/>
      <c r="X38" s="40"/>
      <c r="Y38" s="40"/>
      <c r="Z38" s="40"/>
      <c r="AA38" s="12"/>
      <c r="AL38" s="41">
        <f>L38+N38+P38+R38+T38+V38+X38+Z38</f>
        <v>8200</v>
      </c>
      <c r="AM38" s="42">
        <f>K38-AL38</f>
        <v>0</v>
      </c>
    </row>
    <row r="39" spans="1:39" ht="21" x14ac:dyDescent="0.35">
      <c r="A39" s="38">
        <v>35</v>
      </c>
      <c r="B39" s="38">
        <v>202501039</v>
      </c>
      <c r="C39" s="12" t="s">
        <v>393</v>
      </c>
      <c r="D39" s="12" t="s">
        <v>394</v>
      </c>
      <c r="E39" s="16">
        <v>600</v>
      </c>
      <c r="F39" s="16">
        <v>270</v>
      </c>
      <c r="H39" s="16">
        <v>968</v>
      </c>
      <c r="K39" s="39">
        <f>8200</f>
        <v>8200</v>
      </c>
      <c r="L39" s="40"/>
      <c r="M39" s="40"/>
      <c r="N39" s="40">
        <v>3000</v>
      </c>
      <c r="O39" s="40" t="s">
        <v>50</v>
      </c>
      <c r="P39" s="40"/>
      <c r="Q39" s="40"/>
      <c r="R39" s="40"/>
      <c r="S39" s="40"/>
      <c r="T39" s="40">
        <v>4200</v>
      </c>
      <c r="U39" s="40" t="s">
        <v>68</v>
      </c>
      <c r="V39" s="40">
        <v>1000</v>
      </c>
      <c r="W39" s="40" t="s">
        <v>203</v>
      </c>
      <c r="X39" s="40"/>
      <c r="Y39" s="40"/>
      <c r="Z39" s="44"/>
      <c r="AL39" s="41">
        <f>L39+N39+P39+R39+T39+V39</f>
        <v>8200</v>
      </c>
      <c r="AM39" s="42">
        <f t="shared" ref="AM39:AM43" si="2">K39-AL39</f>
        <v>0</v>
      </c>
    </row>
    <row r="40" spans="1:39" ht="21" x14ac:dyDescent="0.35">
      <c r="A40" s="38">
        <v>36</v>
      </c>
      <c r="B40" s="38">
        <v>202501040</v>
      </c>
      <c r="C40" s="12" t="s">
        <v>395</v>
      </c>
      <c r="D40" s="12" t="s">
        <v>396</v>
      </c>
      <c r="E40" s="16">
        <v>600</v>
      </c>
      <c r="F40" s="16"/>
      <c r="H40" s="16">
        <v>968</v>
      </c>
      <c r="I40" s="16">
        <v>364</v>
      </c>
      <c r="K40" s="39">
        <f>8200</f>
        <v>8200</v>
      </c>
      <c r="L40" s="40">
        <v>1800</v>
      </c>
      <c r="M40" s="40" t="s">
        <v>31</v>
      </c>
      <c r="N40" s="40">
        <v>200</v>
      </c>
      <c r="O40" s="40" t="s">
        <v>193</v>
      </c>
      <c r="P40" s="40">
        <v>1000</v>
      </c>
      <c r="Q40" s="40" t="s">
        <v>289</v>
      </c>
      <c r="R40" s="40">
        <v>5200</v>
      </c>
      <c r="S40" s="40" t="s">
        <v>53</v>
      </c>
      <c r="T40" s="40"/>
      <c r="U40" s="40"/>
      <c r="V40" s="40"/>
      <c r="W40" s="40"/>
      <c r="X40" s="40"/>
      <c r="Y40" s="40"/>
      <c r="Z40" s="40"/>
      <c r="AA40" s="12"/>
      <c r="AB40" s="12"/>
      <c r="AC40" s="12"/>
      <c r="AD40" s="12"/>
      <c r="AE40" s="12"/>
      <c r="AL40" s="41">
        <f>L40+N40+P40+R40+T40+V40+X40+Z40+AB40+AD40</f>
        <v>8200</v>
      </c>
      <c r="AM40" s="42">
        <f t="shared" si="2"/>
        <v>0</v>
      </c>
    </row>
    <row r="41" spans="1:39" ht="21" x14ac:dyDescent="0.35">
      <c r="A41" s="38">
        <v>37</v>
      </c>
      <c r="B41" s="38">
        <v>202501041</v>
      </c>
      <c r="C41" s="12" t="s">
        <v>397</v>
      </c>
      <c r="D41" s="12" t="s">
        <v>149</v>
      </c>
      <c r="E41" s="16"/>
      <c r="F41" s="16"/>
      <c r="H41" s="16">
        <v>968</v>
      </c>
      <c r="K41" s="39">
        <f>8200</f>
        <v>8200</v>
      </c>
      <c r="L41" s="40"/>
      <c r="M41" s="40"/>
      <c r="N41" s="40"/>
      <c r="O41" s="40"/>
      <c r="P41" s="40">
        <v>2800</v>
      </c>
      <c r="Q41" s="40" t="s">
        <v>300</v>
      </c>
      <c r="R41" s="40">
        <v>1600</v>
      </c>
      <c r="S41" s="40" t="s">
        <v>224</v>
      </c>
      <c r="T41" s="40">
        <v>900</v>
      </c>
      <c r="U41" s="40" t="s">
        <v>289</v>
      </c>
      <c r="V41" s="40">
        <v>2700</v>
      </c>
      <c r="W41" s="40" t="s">
        <v>53</v>
      </c>
      <c r="X41" s="40">
        <v>200</v>
      </c>
      <c r="Y41" s="40" t="s">
        <v>95</v>
      </c>
      <c r="Z41" s="40"/>
      <c r="AA41" s="12"/>
      <c r="AB41" s="12"/>
      <c r="AC41" s="12"/>
      <c r="AL41" s="41">
        <f>L41+N41+P41+R41+T41+V41+X41+Z41</f>
        <v>8200</v>
      </c>
      <c r="AM41" s="42">
        <f t="shared" si="2"/>
        <v>0</v>
      </c>
    </row>
    <row r="42" spans="1:39" ht="21" x14ac:dyDescent="0.35">
      <c r="A42" s="38">
        <v>38</v>
      </c>
      <c r="B42" s="38">
        <v>202501042</v>
      </c>
      <c r="C42" s="12" t="s">
        <v>49</v>
      </c>
      <c r="D42" s="12" t="s">
        <v>398</v>
      </c>
      <c r="E42" s="16">
        <v>600</v>
      </c>
      <c r="F42" s="16"/>
      <c r="H42" s="16">
        <v>968</v>
      </c>
      <c r="K42" s="39">
        <f>8200</f>
        <v>8200</v>
      </c>
      <c r="L42" s="40"/>
      <c r="M42" s="40"/>
      <c r="N42" s="40">
        <v>2000</v>
      </c>
      <c r="O42" s="40" t="s">
        <v>61</v>
      </c>
      <c r="P42" s="40">
        <v>2000</v>
      </c>
      <c r="Q42" s="40" t="s">
        <v>145</v>
      </c>
      <c r="R42" s="40">
        <v>2000</v>
      </c>
      <c r="S42" s="40" t="s">
        <v>78</v>
      </c>
      <c r="T42" s="40"/>
      <c r="U42" s="40"/>
      <c r="V42" s="40">
        <v>1000</v>
      </c>
      <c r="W42" s="40" t="s">
        <v>78</v>
      </c>
      <c r="X42" s="40">
        <f>2000-800</f>
        <v>1200</v>
      </c>
      <c r="Y42" s="40" t="s">
        <v>399</v>
      </c>
      <c r="Z42" s="44"/>
      <c r="AL42" s="41">
        <f>L42+N42+P42+R42+T42+V42+X42</f>
        <v>8200</v>
      </c>
      <c r="AM42" s="42">
        <f t="shared" si="2"/>
        <v>0</v>
      </c>
    </row>
    <row r="43" spans="1:39" ht="21" x14ac:dyDescent="0.35">
      <c r="A43" s="38">
        <v>39</v>
      </c>
      <c r="B43" s="38">
        <v>202501043</v>
      </c>
      <c r="C43" s="12" t="s">
        <v>400</v>
      </c>
      <c r="D43" s="12" t="s">
        <v>401</v>
      </c>
      <c r="E43" s="16">
        <v>600</v>
      </c>
      <c r="F43" s="16"/>
      <c r="H43" s="43">
        <f>1332-364</f>
        <v>968</v>
      </c>
      <c r="I43" s="16">
        <v>364</v>
      </c>
      <c r="K43" s="39">
        <f>8200</f>
        <v>8200</v>
      </c>
      <c r="L43" s="40"/>
      <c r="M43" s="40"/>
      <c r="N43" s="40">
        <v>4000</v>
      </c>
      <c r="O43" s="40" t="s">
        <v>20</v>
      </c>
      <c r="P43" s="40"/>
      <c r="Q43" s="40"/>
      <c r="R43" s="40">
        <v>4200</v>
      </c>
      <c r="S43" s="40" t="s">
        <v>68</v>
      </c>
      <c r="T43" s="40"/>
      <c r="U43" s="40"/>
      <c r="V43" s="40"/>
      <c r="W43" s="40"/>
      <c r="X43" s="40"/>
      <c r="Y43" s="40"/>
      <c r="Z43" s="44"/>
      <c r="AL43" s="41">
        <f>L43+N43+P43+R43</f>
        <v>8200</v>
      </c>
      <c r="AM43" s="42">
        <f t="shared" si="2"/>
        <v>0</v>
      </c>
    </row>
    <row r="44" spans="1:39" ht="21" x14ac:dyDescent="0.35">
      <c r="A44" s="38"/>
      <c r="C44" s="45"/>
      <c r="E44" s="33" t="s">
        <v>402</v>
      </c>
      <c r="F44" s="33" t="s">
        <v>403</v>
      </c>
      <c r="H44" s="47">
        <f>SUM(H5:H43)</f>
        <v>37752</v>
      </c>
      <c r="I44" s="33" t="s">
        <v>404</v>
      </c>
      <c r="K44" s="48" t="s">
        <v>5</v>
      </c>
      <c r="L44" s="45"/>
      <c r="M44"/>
      <c r="AL44" s="49" t="s">
        <v>405</v>
      </c>
      <c r="AM44" s="49" t="s">
        <v>14</v>
      </c>
    </row>
    <row r="45" spans="1:39" x14ac:dyDescent="0.3">
      <c r="E45" s="33">
        <f>SUM(E5:E44)</f>
        <v>18400</v>
      </c>
      <c r="F45" s="33">
        <f>SUM(F5:F44)</f>
        <v>3510</v>
      </c>
      <c r="I45" s="33">
        <f>SUM(I5:I44)</f>
        <v>7612</v>
      </c>
      <c r="K45" s="48">
        <f>SUM(K5:K44)</f>
        <v>319800</v>
      </c>
      <c r="L45" s="45"/>
      <c r="M45"/>
      <c r="AL45" s="50">
        <f>SUM(AL5:AL44)</f>
        <v>315600</v>
      </c>
      <c r="AM45" s="51">
        <f>SUM(AM5:AM44)</f>
        <v>4200</v>
      </c>
    </row>
    <row r="46" spans="1:39" x14ac:dyDescent="0.3">
      <c r="E46" s="16"/>
      <c r="F46" s="16"/>
      <c r="K46" s="34"/>
      <c r="L46" s="25">
        <f>SUM(L4:L45)</f>
        <v>20800</v>
      </c>
      <c r="M46"/>
      <c r="N46" s="25">
        <f>SUM(N5:N45)</f>
        <v>64200</v>
      </c>
      <c r="P46" s="25">
        <f>SUM(P5:P45)</f>
        <v>60100</v>
      </c>
      <c r="R46" s="25">
        <f>SUM(R5:R45)</f>
        <v>65970</v>
      </c>
      <c r="T46" s="25">
        <f>SUM(T5:T45)</f>
        <v>51330</v>
      </c>
      <c r="V46" s="25">
        <f>SUM(V5:V45)</f>
        <v>39500</v>
      </c>
      <c r="AL46" s="52">
        <f>L46+N46+P46+R46+T46+V46</f>
        <v>301900</v>
      </c>
    </row>
  </sheetData>
  <pageMargins left="0.7" right="0.7" top="0.75" bottom="0.75" header="0.3" footer="0.3"/>
  <ignoredErrors>
    <ignoredError sqref="AL34 AL37" formula="1"/>
  </ignoredError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067E-B50E-4214-8544-1D532F2A2918}">
  <dimension ref="A1:AF41"/>
  <sheetViews>
    <sheetView topLeftCell="A5" workbookViewId="0">
      <selection activeCell="A15" sqref="A15"/>
    </sheetView>
  </sheetViews>
  <sheetFormatPr defaultColWidth="9" defaultRowHeight="15" x14ac:dyDescent="0.25"/>
  <cols>
    <col min="2" max="3" width="17.28515625" customWidth="1"/>
    <col min="4" max="4" width="19" customWidth="1"/>
    <col min="11" max="11" width="16" bestFit="1" customWidth="1"/>
    <col min="12" max="12" width="14" customWidth="1"/>
    <col min="13" max="13" width="11.7109375" customWidth="1"/>
    <col min="14" max="14" width="13.85546875" customWidth="1"/>
    <col min="15" max="15" width="11.5703125" customWidth="1"/>
    <col min="16" max="16" width="10.5703125" bestFit="1" customWidth="1"/>
    <col min="17" max="17" width="11.42578125" customWidth="1"/>
    <col min="18" max="18" width="10.5703125" bestFit="1" customWidth="1"/>
    <col min="19" max="19" width="11.42578125" customWidth="1"/>
    <col min="20" max="20" width="10.5703125" bestFit="1" customWidth="1"/>
    <col min="21" max="27" width="11.7109375" customWidth="1"/>
    <col min="29" max="29" width="17.42578125" customWidth="1"/>
    <col min="30" max="30" width="14.140625" customWidth="1"/>
  </cols>
  <sheetData>
    <row r="1" spans="1:32" x14ac:dyDescent="0.25">
      <c r="C1" s="45"/>
    </row>
    <row r="2" spans="1:32" ht="24.75" x14ac:dyDescent="0.5">
      <c r="B2" s="31"/>
      <c r="C2" s="32" t="s">
        <v>0</v>
      </c>
      <c r="D2" s="31"/>
      <c r="E2" s="33"/>
      <c r="F2" s="33"/>
      <c r="G2" s="33"/>
      <c r="H2" s="33"/>
      <c r="I2" s="33"/>
      <c r="J2" s="33"/>
      <c r="K2" s="34"/>
    </row>
    <row r="3" spans="1:32" ht="24.75" x14ac:dyDescent="0.5">
      <c r="B3" s="31"/>
      <c r="C3" s="53"/>
      <c r="D3" s="53" t="s">
        <v>406</v>
      </c>
      <c r="E3" s="53"/>
      <c r="F3" s="53"/>
      <c r="G3" s="53"/>
      <c r="H3" s="53"/>
      <c r="I3" s="53"/>
      <c r="J3" s="53"/>
      <c r="N3" s="10"/>
    </row>
    <row r="4" spans="1:32" ht="18.75" x14ac:dyDescent="0.3">
      <c r="A4" s="17"/>
      <c r="B4" s="17" t="s">
        <v>407</v>
      </c>
      <c r="C4" s="17" t="s">
        <v>3</v>
      </c>
      <c r="D4" s="17" t="s">
        <v>314</v>
      </c>
      <c r="E4" s="17" t="s">
        <v>315</v>
      </c>
      <c r="F4" s="17" t="s">
        <v>316</v>
      </c>
      <c r="G4" s="17" t="s">
        <v>408</v>
      </c>
      <c r="H4" s="17" t="s">
        <v>320</v>
      </c>
      <c r="I4" s="17" t="s">
        <v>409</v>
      </c>
      <c r="J4" s="17" t="s">
        <v>404</v>
      </c>
      <c r="K4" s="17" t="s">
        <v>5</v>
      </c>
      <c r="L4" s="17" t="s">
        <v>6</v>
      </c>
      <c r="M4" s="12"/>
      <c r="N4" s="10" t="s">
        <v>7</v>
      </c>
      <c r="O4" s="12"/>
      <c r="P4" s="10" t="s">
        <v>8</v>
      </c>
      <c r="Q4" s="12"/>
      <c r="R4" s="10" t="s">
        <v>9</v>
      </c>
      <c r="S4" s="12"/>
      <c r="T4" s="10" t="s">
        <v>10</v>
      </c>
      <c r="U4" s="17"/>
      <c r="V4" s="17" t="s">
        <v>11</v>
      </c>
      <c r="W4" s="17"/>
      <c r="X4" s="17" t="s">
        <v>12</v>
      </c>
      <c r="Y4" s="17"/>
      <c r="Z4" s="17"/>
      <c r="AA4" s="17"/>
      <c r="AB4" s="17"/>
      <c r="AC4" s="17" t="s">
        <v>13</v>
      </c>
      <c r="AD4" s="17" t="s">
        <v>14</v>
      </c>
      <c r="AE4" s="17"/>
      <c r="AF4" s="12"/>
    </row>
    <row r="5" spans="1:32" ht="18.75" x14ac:dyDescent="0.3">
      <c r="A5" s="12">
        <v>1</v>
      </c>
      <c r="B5" s="12">
        <v>202507001</v>
      </c>
      <c r="C5" s="12" t="s">
        <v>410</v>
      </c>
      <c r="D5" s="12" t="s">
        <v>411</v>
      </c>
      <c r="E5" s="12"/>
      <c r="F5" s="12">
        <v>270</v>
      </c>
      <c r="G5" s="12"/>
      <c r="H5" s="12"/>
      <c r="I5" s="12"/>
      <c r="J5" s="12"/>
      <c r="K5" s="12">
        <v>8200</v>
      </c>
      <c r="L5" s="12">
        <v>5000</v>
      </c>
      <c r="M5" s="12" t="s">
        <v>412</v>
      </c>
      <c r="N5" s="12"/>
      <c r="O5" s="12"/>
      <c r="P5" s="12"/>
      <c r="Q5" s="12"/>
      <c r="R5" s="12">
        <v>1500</v>
      </c>
      <c r="S5" s="12" t="s">
        <v>413</v>
      </c>
      <c r="T5" s="12"/>
      <c r="U5" s="12"/>
      <c r="V5" s="12">
        <v>1700</v>
      </c>
      <c r="W5" s="12" t="s">
        <v>34</v>
      </c>
      <c r="X5" s="12"/>
      <c r="Y5" s="12"/>
      <c r="Z5" s="12"/>
      <c r="AA5" s="12"/>
      <c r="AB5" s="12"/>
      <c r="AC5" s="12">
        <f>L5+N5+P5+R5+T5+V5</f>
        <v>8200</v>
      </c>
      <c r="AD5" s="12">
        <f t="shared" ref="AD5:AD25" si="0">K5-AC5</f>
        <v>0</v>
      </c>
      <c r="AE5" s="12"/>
      <c r="AF5" s="12"/>
    </row>
    <row r="6" spans="1:32" ht="18.75" x14ac:dyDescent="0.3">
      <c r="A6" s="12">
        <v>2</v>
      </c>
      <c r="B6" s="12">
        <v>202507003</v>
      </c>
      <c r="C6" s="12" t="s">
        <v>414</v>
      </c>
      <c r="D6" s="12" t="s">
        <v>154</v>
      </c>
      <c r="E6" s="12"/>
      <c r="F6" s="12"/>
      <c r="G6" s="12"/>
      <c r="H6" s="12"/>
      <c r="I6" s="12"/>
      <c r="J6" s="12"/>
      <c r="K6" s="12">
        <v>8200</v>
      </c>
      <c r="L6" s="12"/>
      <c r="M6" s="12"/>
      <c r="N6" s="12">
        <v>4730</v>
      </c>
      <c r="O6" s="12" t="s">
        <v>178</v>
      </c>
      <c r="P6" s="12"/>
      <c r="Q6" s="12"/>
      <c r="R6" s="12">
        <v>1000</v>
      </c>
      <c r="S6" s="12" t="s">
        <v>376</v>
      </c>
      <c r="T6" s="12">
        <v>450</v>
      </c>
      <c r="U6" s="12" t="s">
        <v>72</v>
      </c>
      <c r="V6" s="12">
        <v>2020</v>
      </c>
      <c r="W6" s="12" t="s">
        <v>78</v>
      </c>
      <c r="X6" s="12"/>
      <c r="Y6" s="12"/>
      <c r="Z6" s="12"/>
      <c r="AA6" s="12"/>
      <c r="AB6" s="12"/>
      <c r="AC6" s="12">
        <f>L6+N6+P6+R6+T6+V6</f>
        <v>8200</v>
      </c>
      <c r="AD6" s="12">
        <f t="shared" si="0"/>
        <v>0</v>
      </c>
      <c r="AE6" s="12"/>
      <c r="AF6" s="12"/>
    </row>
    <row r="7" spans="1:32" ht="18.75" x14ac:dyDescent="0.3">
      <c r="A7" s="63">
        <v>3</v>
      </c>
      <c r="B7" s="63">
        <v>202507004</v>
      </c>
      <c r="C7" s="63" t="s">
        <v>140</v>
      </c>
      <c r="D7" s="63" t="s">
        <v>415</v>
      </c>
      <c r="E7" s="63"/>
      <c r="F7" s="63"/>
      <c r="G7" s="63"/>
      <c r="H7" s="63"/>
      <c r="I7" s="63"/>
      <c r="J7" s="63"/>
      <c r="K7" s="63">
        <v>8200</v>
      </c>
      <c r="L7" s="63"/>
      <c r="M7" s="63"/>
      <c r="N7" s="63">
        <v>1000</v>
      </c>
      <c r="O7" s="63" t="s">
        <v>20</v>
      </c>
      <c r="P7" s="63"/>
      <c r="Q7" s="63"/>
      <c r="R7" s="63">
        <v>3100</v>
      </c>
      <c r="S7" s="63" t="s">
        <v>224</v>
      </c>
      <c r="T7" s="63">
        <v>900</v>
      </c>
      <c r="U7" s="63" t="s">
        <v>72</v>
      </c>
      <c r="V7" s="63"/>
      <c r="W7" s="63"/>
      <c r="X7" s="63"/>
      <c r="Y7" s="63"/>
      <c r="Z7" s="63"/>
      <c r="AA7" s="63"/>
      <c r="AB7" s="63"/>
      <c r="AC7" s="63">
        <f>L7+N7+P7+R7+T7</f>
        <v>5000</v>
      </c>
      <c r="AD7" s="63">
        <f t="shared" si="0"/>
        <v>3200</v>
      </c>
      <c r="AE7" s="12"/>
      <c r="AF7" s="12"/>
    </row>
    <row r="8" spans="1:32" ht="18.75" x14ac:dyDescent="0.3">
      <c r="A8" s="12">
        <v>4</v>
      </c>
      <c r="B8" s="12">
        <v>202507005</v>
      </c>
      <c r="C8" s="12" t="s">
        <v>416</v>
      </c>
      <c r="D8" s="12" t="s">
        <v>49</v>
      </c>
      <c r="E8" s="12"/>
      <c r="F8" s="12"/>
      <c r="G8" s="12"/>
      <c r="H8" s="12"/>
      <c r="I8" s="12"/>
      <c r="J8" s="12">
        <v>364</v>
      </c>
      <c r="K8" s="12">
        <v>8200</v>
      </c>
      <c r="L8" s="12">
        <v>5000</v>
      </c>
      <c r="M8" s="12" t="s">
        <v>417</v>
      </c>
      <c r="N8" s="12"/>
      <c r="O8" s="12"/>
      <c r="P8" s="12"/>
      <c r="Q8" s="12"/>
      <c r="R8" s="12"/>
      <c r="S8" s="12"/>
      <c r="T8" s="12">
        <v>1200</v>
      </c>
      <c r="U8" s="12" t="s">
        <v>155</v>
      </c>
      <c r="V8" s="12">
        <v>2000</v>
      </c>
      <c r="W8" s="12" t="s">
        <v>95</v>
      </c>
      <c r="X8" s="12"/>
      <c r="Y8" s="12"/>
      <c r="Z8" s="12"/>
      <c r="AA8" s="12"/>
      <c r="AB8" s="12"/>
      <c r="AC8" s="12">
        <f>L8+N8+P8+R8+T8+V8</f>
        <v>8200</v>
      </c>
      <c r="AD8" s="12">
        <f t="shared" si="0"/>
        <v>0</v>
      </c>
      <c r="AE8" s="12"/>
      <c r="AF8" s="12"/>
    </row>
    <row r="9" spans="1:32" ht="18.75" x14ac:dyDescent="0.3">
      <c r="A9" s="12">
        <v>5</v>
      </c>
      <c r="B9" s="12">
        <v>202507006</v>
      </c>
      <c r="C9" s="12" t="s">
        <v>418</v>
      </c>
      <c r="D9" s="12" t="s">
        <v>419</v>
      </c>
      <c r="E9" s="12">
        <v>600</v>
      </c>
      <c r="F9" s="12">
        <v>270</v>
      </c>
      <c r="G9" s="12"/>
      <c r="H9" s="12"/>
      <c r="I9" s="12"/>
      <c r="J9" s="12"/>
      <c r="K9" s="12">
        <v>8200</v>
      </c>
      <c r="L9" s="12">
        <v>8000</v>
      </c>
      <c r="M9" s="12" t="s">
        <v>420</v>
      </c>
      <c r="N9" s="12">
        <v>200</v>
      </c>
      <c r="O9" s="12" t="s">
        <v>178</v>
      </c>
      <c r="P9" s="12"/>
      <c r="Q9" s="12"/>
      <c r="R9" s="12"/>
      <c r="S9" s="12"/>
      <c r="T9" s="12"/>
      <c r="U9" s="12"/>
      <c r="V9" s="12"/>
      <c r="W9" s="12"/>
      <c r="X9" s="12"/>
      <c r="Y9" s="12"/>
      <c r="Z9" s="12"/>
      <c r="AA9" s="12"/>
      <c r="AB9" s="12"/>
      <c r="AC9" s="12">
        <f t="shared" ref="AC9:AC10" si="1">L9+N9+P9+R9+T9</f>
        <v>8200</v>
      </c>
      <c r="AD9" s="12">
        <f t="shared" si="0"/>
        <v>0</v>
      </c>
      <c r="AE9" s="12"/>
      <c r="AF9" s="12"/>
    </row>
    <row r="10" spans="1:32" ht="18.75" x14ac:dyDescent="0.3">
      <c r="A10" s="12">
        <v>6</v>
      </c>
      <c r="B10" s="12">
        <v>202507007</v>
      </c>
      <c r="C10" s="12" t="s">
        <v>350</v>
      </c>
      <c r="D10" s="12" t="s">
        <v>119</v>
      </c>
      <c r="E10" s="12">
        <v>600</v>
      </c>
      <c r="F10" s="12">
        <v>270</v>
      </c>
      <c r="G10" s="12"/>
      <c r="H10" s="12"/>
      <c r="I10" s="12">
        <v>968</v>
      </c>
      <c r="J10" s="12">
        <v>364</v>
      </c>
      <c r="K10" s="12">
        <v>8200</v>
      </c>
      <c r="L10" s="12">
        <v>1000</v>
      </c>
      <c r="M10" s="12" t="s">
        <v>421</v>
      </c>
      <c r="N10" s="12">
        <v>3000</v>
      </c>
      <c r="O10" s="12" t="s">
        <v>422</v>
      </c>
      <c r="P10" s="12"/>
      <c r="Q10" s="12"/>
      <c r="R10" s="12">
        <v>2100</v>
      </c>
      <c r="S10" s="12" t="s">
        <v>368</v>
      </c>
      <c r="T10" s="12">
        <v>2100</v>
      </c>
      <c r="U10" s="12" t="s">
        <v>128</v>
      </c>
      <c r="V10" s="12"/>
      <c r="W10" s="12"/>
      <c r="X10" s="12"/>
      <c r="Y10" s="12"/>
      <c r="Z10" s="12"/>
      <c r="AA10" s="12"/>
      <c r="AB10" s="12"/>
      <c r="AC10" s="12">
        <f t="shared" si="1"/>
        <v>8200</v>
      </c>
      <c r="AD10" s="12">
        <f t="shared" si="0"/>
        <v>0</v>
      </c>
      <c r="AE10" s="12"/>
      <c r="AF10" s="12"/>
    </row>
    <row r="11" spans="1:32" ht="18.75" x14ac:dyDescent="0.3">
      <c r="A11" s="12">
        <v>7</v>
      </c>
      <c r="B11" s="12">
        <v>202507008</v>
      </c>
      <c r="C11" s="12" t="s">
        <v>423</v>
      </c>
      <c r="D11" s="12" t="s">
        <v>424</v>
      </c>
      <c r="E11" s="12">
        <v>600</v>
      </c>
      <c r="F11" s="12">
        <v>270</v>
      </c>
      <c r="G11" s="12"/>
      <c r="H11" s="12"/>
      <c r="I11" s="12"/>
      <c r="J11" s="12">
        <v>364</v>
      </c>
      <c r="K11" s="12">
        <v>8200</v>
      </c>
      <c r="L11" s="12"/>
      <c r="M11" s="12"/>
      <c r="N11" s="12">
        <v>4000</v>
      </c>
      <c r="O11" s="12" t="s">
        <v>178</v>
      </c>
      <c r="P11" s="12"/>
      <c r="Q11" s="12"/>
      <c r="R11" s="12">
        <v>2200</v>
      </c>
      <c r="S11" s="12" t="s">
        <v>367</v>
      </c>
      <c r="T11" s="12">
        <v>1000</v>
      </c>
      <c r="U11" s="12" t="s">
        <v>128</v>
      </c>
      <c r="V11" s="12">
        <v>1000</v>
      </c>
      <c r="W11" s="12" t="s">
        <v>25</v>
      </c>
      <c r="X11" s="12"/>
      <c r="Y11" s="12"/>
      <c r="Z11" s="12"/>
      <c r="AA11" s="12"/>
      <c r="AB11" s="12"/>
      <c r="AC11" s="12">
        <f>L11+N11+P11+R11+T11+V11</f>
        <v>8200</v>
      </c>
      <c r="AD11" s="12">
        <f t="shared" si="0"/>
        <v>0</v>
      </c>
      <c r="AE11" s="12"/>
      <c r="AF11" s="12"/>
    </row>
    <row r="12" spans="1:32" ht="18.75" x14ac:dyDescent="0.3">
      <c r="A12" s="12">
        <v>8</v>
      </c>
      <c r="B12" s="12">
        <v>202507009</v>
      </c>
      <c r="C12" s="12" t="s">
        <v>425</v>
      </c>
      <c r="D12" s="12" t="s">
        <v>426</v>
      </c>
      <c r="E12" s="12"/>
      <c r="F12" s="12"/>
      <c r="G12" s="12"/>
      <c r="H12" s="12"/>
      <c r="I12" s="12"/>
      <c r="J12" s="12"/>
      <c r="K12" s="12">
        <v>8200</v>
      </c>
      <c r="L12" s="12"/>
      <c r="M12" s="12"/>
      <c r="N12" s="12">
        <v>4200</v>
      </c>
      <c r="O12" s="12" t="s">
        <v>75</v>
      </c>
      <c r="P12" s="12">
        <v>1000</v>
      </c>
      <c r="Q12" s="12" t="s">
        <v>376</v>
      </c>
      <c r="R12" s="12"/>
      <c r="S12" s="12"/>
      <c r="T12" s="12">
        <v>900</v>
      </c>
      <c r="U12" s="12" t="s">
        <v>134</v>
      </c>
      <c r="V12" s="12">
        <v>2000</v>
      </c>
      <c r="W12" s="12" t="s">
        <v>95</v>
      </c>
      <c r="X12" s="12">
        <v>100</v>
      </c>
      <c r="Y12" s="12" t="s">
        <v>427</v>
      </c>
      <c r="Z12" s="12"/>
      <c r="AA12" s="12"/>
      <c r="AB12" s="12"/>
      <c r="AC12" s="12">
        <f>L12+N12+P12+R12+T12+V12+X12</f>
        <v>8200</v>
      </c>
      <c r="AD12" s="12">
        <f t="shared" si="0"/>
        <v>0</v>
      </c>
      <c r="AE12" s="12"/>
      <c r="AF12" s="12"/>
    </row>
    <row r="13" spans="1:32" ht="18.75" x14ac:dyDescent="0.3">
      <c r="A13" s="12">
        <v>9</v>
      </c>
      <c r="B13" s="12">
        <v>202507010</v>
      </c>
      <c r="C13" s="12" t="s">
        <v>428</v>
      </c>
      <c r="D13" s="12" t="s">
        <v>47</v>
      </c>
      <c r="E13" s="12"/>
      <c r="F13" s="12"/>
      <c r="G13" s="12"/>
      <c r="H13" s="12"/>
      <c r="I13" s="12"/>
      <c r="J13" s="12"/>
      <c r="K13" s="12">
        <v>8200</v>
      </c>
      <c r="L13" s="12">
        <v>1000</v>
      </c>
      <c r="M13" s="12" t="s">
        <v>429</v>
      </c>
      <c r="N13" s="12">
        <v>3800</v>
      </c>
      <c r="O13" s="12" t="s">
        <v>122</v>
      </c>
      <c r="P13" s="12">
        <v>800</v>
      </c>
      <c r="Q13" s="12" t="s">
        <v>376</v>
      </c>
      <c r="R13" s="12">
        <v>500</v>
      </c>
      <c r="S13" s="12" t="s">
        <v>72</v>
      </c>
      <c r="T13" s="12">
        <v>50</v>
      </c>
      <c r="U13" s="12" t="s">
        <v>72</v>
      </c>
      <c r="V13" s="12">
        <v>2050</v>
      </c>
      <c r="W13" s="12" t="s">
        <v>95</v>
      </c>
      <c r="X13" s="12"/>
      <c r="Y13" s="12"/>
      <c r="Z13" s="12"/>
      <c r="AA13" s="12"/>
      <c r="AB13" s="12"/>
      <c r="AC13" s="12">
        <f>L13+N13+P13+R13+T13+V13</f>
        <v>8200</v>
      </c>
      <c r="AD13" s="12">
        <f t="shared" si="0"/>
        <v>0</v>
      </c>
      <c r="AE13" s="12"/>
      <c r="AF13" s="12"/>
    </row>
    <row r="14" spans="1:32" ht="18.75" x14ac:dyDescent="0.3">
      <c r="A14" s="12">
        <v>10</v>
      </c>
      <c r="B14" s="12">
        <v>202507011</v>
      </c>
      <c r="C14" s="12" t="s">
        <v>430</v>
      </c>
      <c r="D14" s="12" t="s">
        <v>36</v>
      </c>
      <c r="E14" s="12"/>
      <c r="F14" s="12">
        <v>270</v>
      </c>
      <c r="G14" s="12"/>
      <c r="H14" s="12"/>
      <c r="I14" s="12"/>
      <c r="J14" s="12"/>
      <c r="K14" s="12">
        <v>8200</v>
      </c>
      <c r="L14" s="12">
        <v>3000</v>
      </c>
      <c r="M14" s="12" t="s">
        <v>122</v>
      </c>
      <c r="N14" s="12">
        <v>1000</v>
      </c>
      <c r="O14" s="12" t="s">
        <v>17</v>
      </c>
      <c r="P14" s="12">
        <v>700</v>
      </c>
      <c r="Q14" s="12" t="s">
        <v>17</v>
      </c>
      <c r="R14" s="12">
        <v>1000</v>
      </c>
      <c r="S14" s="12" t="s">
        <v>155</v>
      </c>
      <c r="T14" s="12">
        <v>450</v>
      </c>
      <c r="U14" s="12" t="s">
        <v>431</v>
      </c>
      <c r="V14" s="12">
        <v>1000</v>
      </c>
      <c r="W14" s="12" t="s">
        <v>128</v>
      </c>
      <c r="X14" s="12">
        <v>1050</v>
      </c>
      <c r="Y14" s="12" t="s">
        <v>45</v>
      </c>
      <c r="Z14" s="12"/>
      <c r="AA14" s="12"/>
      <c r="AB14" s="12"/>
      <c r="AC14" s="12">
        <f>L14+N14+P14+R14+T14+V14+X14</f>
        <v>8200</v>
      </c>
      <c r="AD14" s="12">
        <f t="shared" si="0"/>
        <v>0</v>
      </c>
      <c r="AE14" s="12"/>
      <c r="AF14" s="12"/>
    </row>
    <row r="15" spans="1:32" ht="18.75" x14ac:dyDescent="0.3">
      <c r="A15" s="63">
        <v>11</v>
      </c>
      <c r="B15" s="63">
        <v>202507012</v>
      </c>
      <c r="C15" s="63" t="s">
        <v>432</v>
      </c>
      <c r="D15" s="63" t="s">
        <v>433</v>
      </c>
      <c r="E15" s="63"/>
      <c r="F15" s="63"/>
      <c r="G15" s="63"/>
      <c r="H15" s="63"/>
      <c r="I15" s="63"/>
      <c r="J15" s="63"/>
      <c r="K15" s="63">
        <v>8200</v>
      </c>
      <c r="L15" s="63"/>
      <c r="M15" s="63"/>
      <c r="N15" s="63">
        <v>4100</v>
      </c>
      <c r="O15" s="63" t="s">
        <v>99</v>
      </c>
      <c r="P15" s="63"/>
      <c r="Q15" s="63"/>
      <c r="R15" s="63"/>
      <c r="S15" s="63"/>
      <c r="T15" s="63">
        <v>1600</v>
      </c>
      <c r="U15" s="63" t="s">
        <v>376</v>
      </c>
      <c r="V15" s="63">
        <v>50</v>
      </c>
      <c r="W15" s="63" t="s">
        <v>172</v>
      </c>
      <c r="X15" s="63">
        <v>800</v>
      </c>
      <c r="Y15" s="63" t="s">
        <v>434</v>
      </c>
      <c r="Z15" s="63">
        <v>1200</v>
      </c>
      <c r="AA15" s="63" t="s">
        <v>34</v>
      </c>
      <c r="AB15" s="63"/>
      <c r="AC15" s="63">
        <f>L15+N15+P15+R15+T15+V15+X15+Z15</f>
        <v>7750</v>
      </c>
      <c r="AD15" s="63">
        <f t="shared" si="0"/>
        <v>450</v>
      </c>
      <c r="AE15" s="12"/>
      <c r="AF15" s="12"/>
    </row>
    <row r="16" spans="1:32" ht="18.75" x14ac:dyDescent="0.3">
      <c r="A16" s="63">
        <v>12</v>
      </c>
      <c r="B16" s="63">
        <v>202507013</v>
      </c>
      <c r="C16" s="63" t="s">
        <v>435</v>
      </c>
      <c r="D16" s="63" t="s">
        <v>436</v>
      </c>
      <c r="E16" s="63">
        <v>600</v>
      </c>
      <c r="F16" s="63">
        <v>270</v>
      </c>
      <c r="G16" s="63"/>
      <c r="H16" s="63">
        <v>100</v>
      </c>
      <c r="I16" s="63"/>
      <c r="J16" s="63"/>
      <c r="K16" s="63">
        <v>8200</v>
      </c>
      <c r="L16" s="63">
        <v>4000</v>
      </c>
      <c r="M16" s="63" t="s">
        <v>437</v>
      </c>
      <c r="N16" s="63">
        <v>4200</v>
      </c>
      <c r="O16" s="63" t="s">
        <v>437</v>
      </c>
      <c r="P16" s="63"/>
      <c r="Q16" s="63"/>
      <c r="R16" s="63"/>
      <c r="S16" s="63"/>
      <c r="T16" s="63"/>
      <c r="U16" s="63"/>
      <c r="V16" s="63"/>
      <c r="W16" s="63"/>
      <c r="X16" s="63"/>
      <c r="Y16" s="63"/>
      <c r="Z16" s="63"/>
      <c r="AA16" s="63"/>
      <c r="AB16" s="63"/>
      <c r="AC16" s="63">
        <f>L16+N16+P16+R16+T16</f>
        <v>8200</v>
      </c>
      <c r="AD16" s="63">
        <f t="shared" si="0"/>
        <v>0</v>
      </c>
      <c r="AE16" s="12"/>
      <c r="AF16" s="12"/>
    </row>
    <row r="17" spans="1:32" ht="18.75" x14ac:dyDescent="0.3">
      <c r="A17" s="63">
        <v>13</v>
      </c>
      <c r="B17" s="63">
        <v>202507014</v>
      </c>
      <c r="C17" s="63" t="s">
        <v>438</v>
      </c>
      <c r="D17" s="63" t="s">
        <v>439</v>
      </c>
      <c r="E17" s="63">
        <v>600</v>
      </c>
      <c r="F17" s="63"/>
      <c r="G17" s="63"/>
      <c r="H17" s="63"/>
      <c r="I17" s="63"/>
      <c r="J17" s="63"/>
      <c r="K17" s="63">
        <v>8200</v>
      </c>
      <c r="L17" s="63"/>
      <c r="M17" s="63"/>
      <c r="N17" s="63">
        <v>2000</v>
      </c>
      <c r="O17" s="63" t="s">
        <v>61</v>
      </c>
      <c r="P17" s="63"/>
      <c r="Q17" s="63"/>
      <c r="R17" s="63">
        <v>2100</v>
      </c>
      <c r="S17" s="63" t="s">
        <v>224</v>
      </c>
      <c r="T17" s="63">
        <v>2000</v>
      </c>
      <c r="U17" s="63" t="s">
        <v>376</v>
      </c>
      <c r="V17" s="63">
        <v>2000</v>
      </c>
      <c r="W17" s="63" t="s">
        <v>138</v>
      </c>
      <c r="X17" s="63"/>
      <c r="Y17" s="63"/>
      <c r="Z17" s="63"/>
      <c r="AA17" s="63"/>
      <c r="AB17" s="63"/>
      <c r="AC17" s="63">
        <f>L17+N17+P17+R17+T17+V17</f>
        <v>8100</v>
      </c>
      <c r="AD17" s="63">
        <f t="shared" si="0"/>
        <v>100</v>
      </c>
      <c r="AE17" s="12"/>
      <c r="AF17" s="12"/>
    </row>
    <row r="18" spans="1:32" ht="18.75" x14ac:dyDescent="0.3">
      <c r="A18" s="12">
        <v>14</v>
      </c>
      <c r="B18" s="12">
        <v>202507015</v>
      </c>
      <c r="C18" s="12" t="s">
        <v>440</v>
      </c>
      <c r="D18" s="12" t="s">
        <v>441</v>
      </c>
      <c r="E18" s="12">
        <v>600</v>
      </c>
      <c r="F18" s="12">
        <v>270</v>
      </c>
      <c r="G18" s="12"/>
      <c r="H18" s="12"/>
      <c r="I18" s="12"/>
      <c r="J18" s="12"/>
      <c r="K18" s="12">
        <v>8200</v>
      </c>
      <c r="L18" s="12"/>
      <c r="M18" s="12"/>
      <c r="N18" s="12">
        <v>5000</v>
      </c>
      <c r="O18" s="12" t="s">
        <v>178</v>
      </c>
      <c r="P18" s="12"/>
      <c r="Q18" s="12"/>
      <c r="R18" s="12"/>
      <c r="S18" s="12"/>
      <c r="T18" s="12">
        <v>1200</v>
      </c>
      <c r="U18" s="12" t="s">
        <v>155</v>
      </c>
      <c r="V18" s="12">
        <v>2000</v>
      </c>
      <c r="W18" s="12" t="s">
        <v>53</v>
      </c>
      <c r="X18" s="12"/>
      <c r="Y18" s="12"/>
      <c r="Z18" s="12"/>
      <c r="AA18" s="12"/>
      <c r="AB18" s="12"/>
      <c r="AC18" s="12">
        <f>L18+N18+P18+R18+T18+V18</f>
        <v>8200</v>
      </c>
      <c r="AD18" s="12">
        <f t="shared" si="0"/>
        <v>0</v>
      </c>
      <c r="AE18" s="12"/>
      <c r="AF18" s="12"/>
    </row>
    <row r="19" spans="1:32" ht="18.75" x14ac:dyDescent="0.3">
      <c r="A19" s="12">
        <v>15</v>
      </c>
      <c r="B19" s="12">
        <v>202507017</v>
      </c>
      <c r="C19" s="12" t="s">
        <v>249</v>
      </c>
      <c r="D19" s="12" t="s">
        <v>274</v>
      </c>
      <c r="E19" s="12">
        <v>600</v>
      </c>
      <c r="F19" s="12">
        <v>270</v>
      </c>
      <c r="G19" s="12"/>
      <c r="H19" s="12"/>
      <c r="I19" s="12"/>
      <c r="J19" s="12"/>
      <c r="K19" s="12">
        <v>8200</v>
      </c>
      <c r="L19" s="12"/>
      <c r="M19" s="12"/>
      <c r="N19" s="12">
        <v>4000</v>
      </c>
      <c r="O19" s="12" t="s">
        <v>37</v>
      </c>
      <c r="P19" s="12">
        <v>4200</v>
      </c>
      <c r="Q19" s="12" t="s">
        <v>99</v>
      </c>
      <c r="R19" s="12"/>
      <c r="S19" s="12"/>
      <c r="T19" s="12"/>
      <c r="U19" s="12"/>
      <c r="V19" s="12"/>
      <c r="W19" s="12"/>
      <c r="X19" s="12"/>
      <c r="Y19" s="12"/>
      <c r="Z19" s="12"/>
      <c r="AA19" s="12"/>
      <c r="AB19" s="12"/>
      <c r="AC19" s="12">
        <f>L19+N19+P19+R19+T19</f>
        <v>8200</v>
      </c>
      <c r="AD19" s="12">
        <f t="shared" si="0"/>
        <v>0</v>
      </c>
      <c r="AE19" s="12"/>
      <c r="AF19" s="12"/>
    </row>
    <row r="20" spans="1:32" ht="18.75" x14ac:dyDescent="0.3">
      <c r="A20" s="63">
        <v>16</v>
      </c>
      <c r="B20" s="63">
        <v>202507018</v>
      </c>
      <c r="C20" s="63" t="s">
        <v>442</v>
      </c>
      <c r="D20" s="63" t="s">
        <v>143</v>
      </c>
      <c r="E20" s="63"/>
      <c r="F20" s="63">
        <v>270</v>
      </c>
      <c r="G20" s="63"/>
      <c r="H20" s="63"/>
      <c r="I20" s="63"/>
      <c r="J20" s="63"/>
      <c r="K20" s="63">
        <v>8200</v>
      </c>
      <c r="L20" s="63">
        <v>1000</v>
      </c>
      <c r="M20" s="63" t="s">
        <v>23</v>
      </c>
      <c r="N20" s="63">
        <v>1000</v>
      </c>
      <c r="O20" s="63" t="s">
        <v>17</v>
      </c>
      <c r="P20" s="63">
        <v>1800</v>
      </c>
      <c r="Q20" s="63" t="s">
        <v>443</v>
      </c>
      <c r="R20" s="63">
        <v>800</v>
      </c>
      <c r="S20" s="63" t="s">
        <v>278</v>
      </c>
      <c r="T20" s="63">
        <v>200</v>
      </c>
      <c r="U20" s="63" t="s">
        <v>278</v>
      </c>
      <c r="V20" s="63">
        <v>900</v>
      </c>
      <c r="W20" s="63" t="s">
        <v>444</v>
      </c>
      <c r="X20" s="63">
        <v>300</v>
      </c>
      <c r="Y20" s="63" t="s">
        <v>72</v>
      </c>
      <c r="Z20" s="63"/>
      <c r="AA20" s="63"/>
      <c r="AB20" s="64"/>
      <c r="AC20" s="63">
        <f>L20+N20+P20+R20+T20+V20+X20</f>
        <v>6000</v>
      </c>
      <c r="AD20" s="63">
        <f t="shared" si="0"/>
        <v>2200</v>
      </c>
      <c r="AE20" s="12"/>
      <c r="AF20" s="12"/>
    </row>
    <row r="21" spans="1:32" ht="18.75" x14ac:dyDescent="0.3">
      <c r="A21" s="12">
        <v>17</v>
      </c>
      <c r="B21" s="12">
        <v>202507020</v>
      </c>
      <c r="C21" s="12" t="s">
        <v>440</v>
      </c>
      <c r="D21" s="12" t="s">
        <v>445</v>
      </c>
      <c r="E21" s="12"/>
      <c r="F21" s="12"/>
      <c r="G21" s="12"/>
      <c r="H21" s="12"/>
      <c r="I21" s="12"/>
      <c r="J21" s="12"/>
      <c r="K21" s="12">
        <v>8200</v>
      </c>
      <c r="L21" s="12"/>
      <c r="M21" s="12"/>
      <c r="N21" s="12">
        <v>8200</v>
      </c>
      <c r="O21" s="12" t="s">
        <v>178</v>
      </c>
      <c r="P21" s="12"/>
      <c r="Q21" s="12"/>
      <c r="R21" s="12"/>
      <c r="S21" s="12"/>
      <c r="T21" s="12"/>
      <c r="U21" s="12"/>
      <c r="V21" s="12"/>
      <c r="W21" s="12"/>
      <c r="X21" s="12"/>
      <c r="Y21" s="12"/>
      <c r="Z21" s="12"/>
      <c r="AA21" s="12"/>
      <c r="AB21" s="12"/>
      <c r="AC21" s="12">
        <f>L21+N21+P21+R21+T21</f>
        <v>8200</v>
      </c>
      <c r="AD21" s="12">
        <f t="shared" si="0"/>
        <v>0</v>
      </c>
      <c r="AE21" s="12"/>
      <c r="AF21" s="12"/>
    </row>
    <row r="22" spans="1:32" ht="18.75" x14ac:dyDescent="0.3">
      <c r="A22" s="12">
        <v>18</v>
      </c>
      <c r="B22" s="12">
        <v>202507021</v>
      </c>
      <c r="C22" s="12" t="s">
        <v>446</v>
      </c>
      <c r="D22" s="12" t="s">
        <v>447</v>
      </c>
      <c r="E22" s="12">
        <v>600</v>
      </c>
      <c r="F22" s="12"/>
      <c r="G22" s="12"/>
      <c r="H22" s="12"/>
      <c r="I22" s="12"/>
      <c r="J22" s="12"/>
      <c r="K22" s="12">
        <v>8200</v>
      </c>
      <c r="L22" s="12"/>
      <c r="M22" s="12"/>
      <c r="N22" s="12">
        <v>2000</v>
      </c>
      <c r="O22" s="12" t="s">
        <v>75</v>
      </c>
      <c r="P22" s="12"/>
      <c r="Q22" s="12"/>
      <c r="R22" s="12">
        <v>2000</v>
      </c>
      <c r="S22" s="12" t="s">
        <v>306</v>
      </c>
      <c r="T22" s="12">
        <v>2000</v>
      </c>
      <c r="U22" s="12" t="s">
        <v>376</v>
      </c>
      <c r="V22" s="12">
        <v>2000</v>
      </c>
      <c r="W22" s="12" t="s">
        <v>427</v>
      </c>
      <c r="X22" s="12">
        <v>200</v>
      </c>
      <c r="Y22" s="12" t="s">
        <v>82</v>
      </c>
      <c r="Z22" s="12"/>
      <c r="AA22" s="12"/>
      <c r="AB22" s="12"/>
      <c r="AC22" s="12">
        <f>L22+N22+P22+R22+T22+V22+X22</f>
        <v>8200</v>
      </c>
      <c r="AD22" s="12">
        <f t="shared" si="0"/>
        <v>0</v>
      </c>
      <c r="AE22" s="12"/>
      <c r="AF22" s="12"/>
    </row>
    <row r="23" spans="1:32" ht="18.75" x14ac:dyDescent="0.3">
      <c r="A23" s="12">
        <v>19</v>
      </c>
      <c r="B23" s="12">
        <v>202507022</v>
      </c>
      <c r="C23" s="12" t="s">
        <v>448</v>
      </c>
      <c r="D23" s="12" t="s">
        <v>449</v>
      </c>
      <c r="E23" s="12"/>
      <c r="F23" s="12"/>
      <c r="G23" s="12"/>
      <c r="H23" s="12"/>
      <c r="I23" s="12"/>
      <c r="J23" s="12"/>
      <c r="K23" s="12">
        <v>8200</v>
      </c>
      <c r="L23" s="12">
        <v>3000</v>
      </c>
      <c r="M23" s="12" t="s">
        <v>167</v>
      </c>
      <c r="N23" s="12">
        <v>1000</v>
      </c>
      <c r="O23" s="12" t="s">
        <v>31</v>
      </c>
      <c r="P23" s="12">
        <v>3000</v>
      </c>
      <c r="Q23" s="12" t="s">
        <v>31</v>
      </c>
      <c r="R23" s="12">
        <v>1200</v>
      </c>
      <c r="S23" s="12" t="s">
        <v>45</v>
      </c>
      <c r="T23" s="12"/>
      <c r="U23" s="12"/>
      <c r="V23" s="12"/>
      <c r="W23" s="12"/>
      <c r="X23" s="12"/>
      <c r="Y23" s="12"/>
      <c r="Z23" s="12"/>
      <c r="AA23" s="12"/>
      <c r="AB23" s="12"/>
      <c r="AC23" s="12">
        <f>L23+N23+P23+R23+T23</f>
        <v>8200</v>
      </c>
      <c r="AD23" s="12">
        <f t="shared" si="0"/>
        <v>0</v>
      </c>
      <c r="AE23" s="12"/>
      <c r="AF23" s="12"/>
    </row>
    <row r="24" spans="1:32" ht="18.75" x14ac:dyDescent="0.3">
      <c r="A24" s="12">
        <v>20</v>
      </c>
      <c r="B24" s="12">
        <v>202507023</v>
      </c>
      <c r="C24" s="12" t="s">
        <v>450</v>
      </c>
      <c r="D24" s="12" t="s">
        <v>451</v>
      </c>
      <c r="E24" s="12"/>
      <c r="F24" s="12"/>
      <c r="G24" s="12"/>
      <c r="H24" s="12"/>
      <c r="I24" s="12"/>
      <c r="J24" s="12"/>
      <c r="K24" s="12">
        <v>8200</v>
      </c>
      <c r="L24" s="12"/>
      <c r="M24" s="12"/>
      <c r="N24" s="12"/>
      <c r="O24" s="12"/>
      <c r="P24" s="12">
        <f>9500-600-270-350-80</f>
        <v>8200</v>
      </c>
      <c r="Q24" s="12" t="s">
        <v>238</v>
      </c>
      <c r="R24" s="12"/>
      <c r="S24" s="12"/>
      <c r="T24" s="12"/>
      <c r="U24" s="12"/>
      <c r="V24" s="12"/>
      <c r="W24" s="12"/>
      <c r="X24" s="12"/>
      <c r="Y24" s="12"/>
      <c r="Z24" s="12"/>
      <c r="AA24" s="12"/>
      <c r="AB24" s="12"/>
      <c r="AC24" s="12">
        <f>L24+N24+P24+R24+T24</f>
        <v>8200</v>
      </c>
      <c r="AD24" s="12">
        <f t="shared" si="0"/>
        <v>0</v>
      </c>
      <c r="AE24" s="12"/>
      <c r="AF24" s="12"/>
    </row>
    <row r="25" spans="1:32" ht="18.75" x14ac:dyDescent="0.3">
      <c r="A25" s="63">
        <v>21</v>
      </c>
      <c r="B25" s="63">
        <v>202507024</v>
      </c>
      <c r="C25" s="63" t="s">
        <v>452</v>
      </c>
      <c r="D25" s="63" t="s">
        <v>136</v>
      </c>
      <c r="E25" s="63">
        <v>600</v>
      </c>
      <c r="F25" s="63">
        <v>270</v>
      </c>
      <c r="G25" s="63"/>
      <c r="H25" s="63"/>
      <c r="I25" s="63"/>
      <c r="J25" s="63"/>
      <c r="K25" s="63">
        <v>8200</v>
      </c>
      <c r="L25" s="63">
        <v>1000</v>
      </c>
      <c r="M25" s="63" t="s">
        <v>453</v>
      </c>
      <c r="N25" s="63">
        <v>1000</v>
      </c>
      <c r="O25" s="63" t="s">
        <v>300</v>
      </c>
      <c r="P25" s="63">
        <v>2000</v>
      </c>
      <c r="Q25" s="63" t="s">
        <v>104</v>
      </c>
      <c r="R25" s="63"/>
      <c r="S25" s="63"/>
      <c r="T25" s="63"/>
      <c r="U25" s="63"/>
      <c r="V25" s="63"/>
      <c r="W25" s="63"/>
      <c r="X25" s="63"/>
      <c r="Y25" s="63"/>
      <c r="Z25" s="63"/>
      <c r="AA25" s="63"/>
      <c r="AB25" s="63"/>
      <c r="AC25" s="63">
        <f>L25+N25+P25+R25+T25</f>
        <v>4000</v>
      </c>
      <c r="AD25" s="63">
        <f t="shared" si="0"/>
        <v>4200</v>
      </c>
      <c r="AE25" s="12"/>
      <c r="AF25" s="12"/>
    </row>
    <row r="27" spans="1:32" ht="18.75" x14ac:dyDescent="0.3">
      <c r="A27" s="12"/>
      <c r="B27" s="12"/>
      <c r="K27" s="22">
        <f>SUM(K5:K26)</f>
        <v>172200</v>
      </c>
      <c r="AC27" s="22">
        <f>SUM(AC5:AC26)</f>
        <v>162050</v>
      </c>
      <c r="AD27" s="22">
        <f>SUM(AD5:AD26)</f>
        <v>10150</v>
      </c>
      <c r="AE27" s="12"/>
      <c r="AF27" s="12"/>
    </row>
    <row r="28" spans="1:32" ht="15.75" x14ac:dyDescent="0.25">
      <c r="L28" s="25">
        <f>SUM(L5:L27)</f>
        <v>32000</v>
      </c>
      <c r="N28" s="25">
        <f>SUM(N5:N27)</f>
        <v>54430</v>
      </c>
      <c r="P28" s="25">
        <f>SUM(P5:P27)</f>
        <v>21700</v>
      </c>
      <c r="R28" s="25">
        <f>SUM(R5:R27)</f>
        <v>17500</v>
      </c>
      <c r="T28" s="25">
        <f>SUM(T5:T27)</f>
        <v>14050</v>
      </c>
      <c r="V28" s="18">
        <f>SUM(V5:V27)</f>
        <v>18720</v>
      </c>
      <c r="X28" s="18">
        <f>SUM(X5:X27)</f>
        <v>2450</v>
      </c>
      <c r="AC28" s="54">
        <f>L28+N28+P28+R28+T28+V28+X28</f>
        <v>160850</v>
      </c>
    </row>
    <row r="41" spans="5:16" ht="24.75" x14ac:dyDescent="0.5">
      <c r="E41" s="35"/>
      <c r="F41" s="31"/>
      <c r="G41" s="33"/>
      <c r="H41" s="33"/>
      <c r="I41" s="33"/>
      <c r="J41" s="33"/>
      <c r="K41" s="33"/>
      <c r="L41" s="33"/>
      <c r="M41" s="33"/>
      <c r="N41" s="34"/>
      <c r="P41" s="10"/>
    </row>
  </sheetData>
  <pageMargins left="0.7" right="0.7" top="0.75" bottom="0.75" header="0.3" footer="0.3"/>
  <ignoredErrors>
    <ignoredError sqref="AC7:AC8 AC12:AC13 AC20:AC2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RN4 CURRENT</vt:lpstr>
      <vt:lpstr>RN5 CURRENT</vt:lpstr>
      <vt:lpstr>RN6 CURRENT</vt:lpstr>
      <vt:lpstr>RN7 CURRENT</vt:lpstr>
      <vt:lpstr>RN8 CURRENT</vt:lpstr>
      <vt:lpstr>RN9 CURRENT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Admn</dc:creator>
  <cp:lastModifiedBy>Admn</cp:lastModifiedBy>
  <dcterms:created xsi:type="dcterms:W3CDTF">2026-05-01T14:36:28Z</dcterms:created>
  <dcterms:modified xsi:type="dcterms:W3CDTF">2026-05-01T17:15:59Z</dcterms:modified>
</cp:coreProperties>
</file>