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MIHAS\"/>
    </mc:Choice>
  </mc:AlternateContent>
  <bookViews>
    <workbookView xWindow="-120" yWindow="-120" windowWidth="20730" windowHeight="11760" activeTab="5"/>
  </bookViews>
  <sheets>
    <sheet name="RN-5" sheetId="1" r:id="rId1"/>
    <sheet name="RN-6" sheetId="2" r:id="rId2"/>
    <sheet name="RN-7" sheetId="3" r:id="rId3"/>
    <sheet name="RN-8" sheetId="4" r:id="rId4"/>
    <sheet name="RN-9" sheetId="5" r:id="rId5"/>
    <sheet name="RN-10" sheetId="6" r:id="rId6"/>
    <sheet name="Sheet1" sheetId="7" r:id="rId7"/>
    <sheet name="Sheet3" sheetId="9" r:id="rId8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9" i="7" l="1"/>
  <c r="E9" i="7"/>
  <c r="Z9" i="7" s="1"/>
  <c r="X21" i="1"/>
  <c r="H20" i="5" l="1"/>
  <c r="V20" i="5" s="1"/>
  <c r="W20" i="5" s="1"/>
  <c r="X61" i="1"/>
  <c r="E61" i="1"/>
  <c r="E51" i="1"/>
  <c r="E52" i="1"/>
  <c r="E53" i="1"/>
  <c r="E54" i="1"/>
  <c r="E55" i="1"/>
  <c r="E56" i="1"/>
  <c r="E57" i="1"/>
  <c r="E58" i="1"/>
  <c r="E59" i="1"/>
  <c r="E60" i="1"/>
  <c r="E50" i="1"/>
  <c r="X56" i="1"/>
  <c r="X57" i="1"/>
  <c r="X58" i="1"/>
  <c r="X59" i="1"/>
  <c r="X60" i="1"/>
  <c r="T39" i="2"/>
  <c r="U39" i="2" s="1"/>
  <c r="G23" i="6"/>
  <c r="W23" i="6" s="1"/>
  <c r="X23" i="6" s="1"/>
  <c r="W22" i="6"/>
  <c r="X22" i="6" s="1"/>
  <c r="AA25" i="3"/>
  <c r="F25" i="3"/>
  <c r="X37" i="1"/>
  <c r="Y37" i="1" s="1"/>
  <c r="X38" i="1"/>
  <c r="Y38" i="1" s="1"/>
  <c r="X39" i="1"/>
  <c r="Y39" i="1" s="1"/>
  <c r="X40" i="1"/>
  <c r="Y40" i="1" s="1"/>
  <c r="X41" i="1"/>
  <c r="Y41" i="1" s="1"/>
  <c r="X42" i="1"/>
  <c r="Y42" i="1" s="1"/>
  <c r="X43" i="1"/>
  <c r="Y43" i="1" s="1"/>
  <c r="X44" i="1"/>
  <c r="Y44" i="1" s="1"/>
  <c r="X45" i="1"/>
  <c r="Y45" i="1" s="1"/>
  <c r="X46" i="1"/>
  <c r="Y46" i="1" s="1"/>
  <c r="X47" i="1"/>
  <c r="Y47" i="1" s="1"/>
  <c r="X48" i="1"/>
  <c r="Y48" i="1" s="1"/>
  <c r="X49" i="1"/>
  <c r="Y49" i="1" s="1"/>
  <c r="AB25" i="3" l="1"/>
  <c r="Y60" i="1"/>
  <c r="Y59" i="1"/>
  <c r="Y57" i="1"/>
  <c r="Y61" i="1"/>
  <c r="Y56" i="1"/>
  <c r="Y58" i="1"/>
  <c r="X51" i="1"/>
  <c r="Y51" i="1" s="1"/>
  <c r="X52" i="1"/>
  <c r="Y52" i="1" s="1"/>
  <c r="X53" i="1"/>
  <c r="Y53" i="1" s="1"/>
  <c r="X54" i="1"/>
  <c r="Y54" i="1" s="1"/>
  <c r="X55" i="1"/>
  <c r="M13" i="1"/>
  <c r="X16" i="1"/>
  <c r="Y15" i="7"/>
  <c r="E15" i="7"/>
  <c r="Y14" i="7"/>
  <c r="Z14" i="7" s="1"/>
  <c r="Y8" i="7"/>
  <c r="E8" i="7"/>
  <c r="X7" i="1"/>
  <c r="Z15" i="7" l="1"/>
  <c r="Y55" i="1"/>
  <c r="Z8" i="7"/>
  <c r="X36" i="1"/>
  <c r="Y36" i="1" s="1"/>
  <c r="T25" i="2"/>
  <c r="AA10" i="3"/>
  <c r="AA8" i="3"/>
  <c r="V21" i="5"/>
  <c r="Y13" i="4"/>
  <c r="Y19" i="4"/>
  <c r="X50" i="1"/>
  <c r="T6" i="7"/>
  <c r="E6" i="7"/>
  <c r="E5" i="7"/>
  <c r="U6" i="7" l="1"/>
  <c r="Y50" i="1"/>
  <c r="I15" i="3" l="1"/>
  <c r="I7" i="3"/>
  <c r="AA7" i="3" s="1"/>
  <c r="T18" i="2"/>
  <c r="U18" i="2" s="1"/>
  <c r="T5" i="2" l="1"/>
  <c r="T6" i="2"/>
  <c r="T7" i="2"/>
  <c r="T8" i="2"/>
  <c r="T9" i="2"/>
  <c r="T10" i="2"/>
  <c r="T11" i="2"/>
  <c r="T12" i="2"/>
  <c r="T13" i="2"/>
  <c r="T14" i="2"/>
  <c r="T15" i="2"/>
  <c r="T16" i="2"/>
  <c r="T17" i="2"/>
  <c r="T19" i="2"/>
  <c r="T20" i="2"/>
  <c r="T21" i="2"/>
  <c r="T22" i="2"/>
  <c r="T23" i="2"/>
  <c r="T24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4" i="2"/>
  <c r="AA5" i="3"/>
  <c r="AA6" i="3"/>
  <c r="AA9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4" i="3"/>
  <c r="Y5" i="4"/>
  <c r="Y6" i="4"/>
  <c r="Y7" i="4"/>
  <c r="Y8" i="4"/>
  <c r="Y9" i="4"/>
  <c r="Y10" i="4"/>
  <c r="Y11" i="4"/>
  <c r="Y12" i="4"/>
  <c r="Y14" i="4"/>
  <c r="Y15" i="4"/>
  <c r="Y16" i="4"/>
  <c r="Y17" i="4"/>
  <c r="Y18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" i="4"/>
  <c r="V10" i="5"/>
  <c r="W10" i="5" s="1"/>
  <c r="V6" i="5"/>
  <c r="W6" i="5" s="1"/>
  <c r="W21" i="5"/>
  <c r="V7" i="5"/>
  <c r="W7" i="5" s="1"/>
  <c r="V8" i="5"/>
  <c r="W8" i="5" s="1"/>
  <c r="V9" i="5"/>
  <c r="W9" i="5" s="1"/>
  <c r="V11" i="5"/>
  <c r="W11" i="5" s="1"/>
  <c r="V12" i="5"/>
  <c r="V13" i="5"/>
  <c r="W13" i="5" s="1"/>
  <c r="V14" i="5"/>
  <c r="W14" i="5" s="1"/>
  <c r="V15" i="5"/>
  <c r="W15" i="5" s="1"/>
  <c r="V16" i="5"/>
  <c r="W16" i="5" s="1"/>
  <c r="V17" i="5"/>
  <c r="W17" i="5" s="1"/>
  <c r="V18" i="5"/>
  <c r="W18" i="5" s="1"/>
  <c r="V19" i="5"/>
  <c r="W19" i="5" s="1"/>
  <c r="V5" i="5"/>
  <c r="W5" i="5" s="1"/>
  <c r="X22" i="1"/>
  <c r="X23" i="1"/>
  <c r="X24" i="1"/>
  <c r="X25" i="1"/>
  <c r="X26" i="1"/>
  <c r="X27" i="1"/>
  <c r="X28" i="1"/>
  <c r="X29" i="1"/>
  <c r="X30" i="1"/>
  <c r="X31" i="1"/>
  <c r="X32" i="1"/>
  <c r="X33" i="1"/>
  <c r="Y33" i="1" s="1"/>
  <c r="X34" i="1"/>
  <c r="X35" i="1"/>
  <c r="X5" i="1"/>
  <c r="X14" i="1"/>
  <c r="X4" i="1"/>
  <c r="X6" i="1"/>
  <c r="X8" i="1"/>
  <c r="X9" i="1"/>
  <c r="X10" i="1"/>
  <c r="X11" i="1"/>
  <c r="X12" i="1"/>
  <c r="X13" i="1"/>
  <c r="X15" i="1"/>
  <c r="Y16" i="1"/>
  <c r="X17" i="1"/>
  <c r="X18" i="1"/>
  <c r="X19" i="1"/>
  <c r="X20" i="1"/>
  <c r="W21" i="6"/>
  <c r="X21" i="6" s="1"/>
  <c r="W20" i="6"/>
  <c r="X20" i="6" s="1"/>
  <c r="W19" i="6"/>
  <c r="X19" i="6" s="1"/>
  <c r="W18" i="6"/>
  <c r="X18" i="6" s="1"/>
  <c r="W17" i="6"/>
  <c r="X17" i="6" s="1"/>
  <c r="W16" i="6"/>
  <c r="X16" i="6" s="1"/>
  <c r="W15" i="6"/>
  <c r="X15" i="6" s="1"/>
  <c r="W14" i="6"/>
  <c r="X14" i="6" s="1"/>
  <c r="K13" i="6"/>
  <c r="W13" i="6" s="1"/>
  <c r="X13" i="6" s="1"/>
  <c r="W12" i="6"/>
  <c r="X12" i="6" s="1"/>
  <c r="W11" i="6"/>
  <c r="X11" i="6" s="1"/>
  <c r="W10" i="6"/>
  <c r="X10" i="6" s="1"/>
  <c r="W9" i="6"/>
  <c r="X9" i="6" s="1"/>
  <c r="W8" i="6"/>
  <c r="X8" i="6" s="1"/>
  <c r="W7" i="6"/>
  <c r="X7" i="6" s="1"/>
  <c r="W6" i="6"/>
  <c r="X6" i="6" s="1"/>
  <c r="W5" i="6"/>
  <c r="W12" i="5" l="1"/>
  <c r="Y4" i="1"/>
  <c r="X5" i="6"/>
  <c r="E42" i="4" l="1"/>
  <c r="Z42" i="4" s="1"/>
  <c r="E41" i="4"/>
  <c r="Z41" i="4" s="1"/>
  <c r="E40" i="4"/>
  <c r="Z40" i="4" s="1"/>
  <c r="E39" i="4"/>
  <c r="Z39" i="4" s="1"/>
  <c r="E38" i="4"/>
  <c r="Z38" i="4" s="1"/>
  <c r="E37" i="4"/>
  <c r="Z37" i="4" s="1"/>
  <c r="E36" i="4"/>
  <c r="Z36" i="4" s="1"/>
  <c r="E35" i="4"/>
  <c r="Z35" i="4" s="1"/>
  <c r="E34" i="4"/>
  <c r="Z34" i="4" s="1"/>
  <c r="E33" i="4"/>
  <c r="Z33" i="4" s="1"/>
  <c r="E32" i="4"/>
  <c r="Z32" i="4" s="1"/>
  <c r="E31" i="4"/>
  <c r="Z31" i="4" s="1"/>
  <c r="E30" i="4"/>
  <c r="Z30" i="4" s="1"/>
  <c r="E29" i="4"/>
  <c r="Z29" i="4" s="1"/>
  <c r="E28" i="4"/>
  <c r="Z28" i="4" s="1"/>
  <c r="E27" i="4"/>
  <c r="Z27" i="4" s="1"/>
  <c r="E26" i="4"/>
  <c r="Z26" i="4" s="1"/>
  <c r="E25" i="4"/>
  <c r="Z25" i="4" s="1"/>
  <c r="E24" i="4"/>
  <c r="Z24" i="4" s="1"/>
  <c r="E23" i="4"/>
  <c r="Z23" i="4" s="1"/>
  <c r="E22" i="4"/>
  <c r="Z22" i="4" s="1"/>
  <c r="E21" i="4"/>
  <c r="Z21" i="4" s="1"/>
  <c r="E20" i="4"/>
  <c r="Z20" i="4" s="1"/>
  <c r="E19" i="4"/>
  <c r="Z19" i="4" s="1"/>
  <c r="E18" i="4"/>
  <c r="Z18" i="4" s="1"/>
  <c r="E17" i="4"/>
  <c r="Z17" i="4" s="1"/>
  <c r="E16" i="4"/>
  <c r="Z16" i="4" s="1"/>
  <c r="E15" i="4"/>
  <c r="Z15" i="4" s="1"/>
  <c r="E14" i="4"/>
  <c r="Z14" i="4" s="1"/>
  <c r="E13" i="4"/>
  <c r="Z13" i="4" s="1"/>
  <c r="E12" i="4"/>
  <c r="Z12" i="4" s="1"/>
  <c r="E11" i="4"/>
  <c r="Z11" i="4" s="1"/>
  <c r="E10" i="4"/>
  <c r="Z10" i="4" s="1"/>
  <c r="E9" i="4"/>
  <c r="Z9" i="4" s="1"/>
  <c r="E8" i="4"/>
  <c r="Z8" i="4" s="1"/>
  <c r="E7" i="4"/>
  <c r="Z7" i="4" s="1"/>
  <c r="E6" i="4"/>
  <c r="Z6" i="4" s="1"/>
  <c r="E5" i="4"/>
  <c r="Z5" i="4" s="1"/>
  <c r="E4" i="4"/>
  <c r="F24" i="3"/>
  <c r="AB24" i="3" s="1"/>
  <c r="F23" i="3"/>
  <c r="AB23" i="3" s="1"/>
  <c r="F22" i="3"/>
  <c r="AB22" i="3" s="1"/>
  <c r="F21" i="3"/>
  <c r="AB21" i="3" s="1"/>
  <c r="F20" i="3"/>
  <c r="AB20" i="3" s="1"/>
  <c r="F19" i="3"/>
  <c r="AB19" i="3" s="1"/>
  <c r="F18" i="3"/>
  <c r="AB18" i="3" s="1"/>
  <c r="F17" i="3"/>
  <c r="AB17" i="3" s="1"/>
  <c r="F16" i="3"/>
  <c r="AB16" i="3" s="1"/>
  <c r="F15" i="3"/>
  <c r="AB15" i="3" s="1"/>
  <c r="F14" i="3"/>
  <c r="AB14" i="3" s="1"/>
  <c r="F13" i="3"/>
  <c r="AB13" i="3" s="1"/>
  <c r="F12" i="3"/>
  <c r="AB12" i="3" s="1"/>
  <c r="F11" i="3"/>
  <c r="AB11" i="3" s="1"/>
  <c r="F10" i="3"/>
  <c r="AB10" i="3" s="1"/>
  <c r="F9" i="3"/>
  <c r="AB9" i="3" s="1"/>
  <c r="F8" i="3"/>
  <c r="AB8" i="3" s="1"/>
  <c r="F7" i="3"/>
  <c r="AB7" i="3" s="1"/>
  <c r="F6" i="3"/>
  <c r="AB6" i="3" s="1"/>
  <c r="F5" i="3"/>
  <c r="AB5" i="3" s="1"/>
  <c r="F4" i="3"/>
  <c r="Z4" i="4" l="1"/>
  <c r="AB4" i="3"/>
  <c r="E38" i="2"/>
  <c r="U38" i="2" s="1"/>
  <c r="E37" i="2"/>
  <c r="U37" i="2" s="1"/>
  <c r="E36" i="2"/>
  <c r="U36" i="2" s="1"/>
  <c r="E35" i="2"/>
  <c r="U35" i="2" s="1"/>
  <c r="E34" i="2"/>
  <c r="U34" i="2" s="1"/>
  <c r="E33" i="2"/>
  <c r="U33" i="2" s="1"/>
  <c r="E32" i="2"/>
  <c r="U32" i="2" s="1"/>
  <c r="E31" i="2"/>
  <c r="U31" i="2" s="1"/>
  <c r="E30" i="2"/>
  <c r="U30" i="2" s="1"/>
  <c r="E29" i="2"/>
  <c r="U29" i="2" s="1"/>
  <c r="E28" i="2"/>
  <c r="U28" i="2" s="1"/>
  <c r="E27" i="2"/>
  <c r="U27" i="2" s="1"/>
  <c r="E26" i="2"/>
  <c r="U26" i="2" s="1"/>
  <c r="E25" i="2"/>
  <c r="U25" i="2" s="1"/>
  <c r="E24" i="2"/>
  <c r="U24" i="2" s="1"/>
  <c r="E23" i="2"/>
  <c r="U23" i="2" s="1"/>
  <c r="E22" i="2"/>
  <c r="U22" i="2" s="1"/>
  <c r="E21" i="2"/>
  <c r="U21" i="2" s="1"/>
  <c r="E20" i="2"/>
  <c r="U20" i="2" s="1"/>
  <c r="E19" i="2"/>
  <c r="U19" i="2" s="1"/>
  <c r="E17" i="2"/>
  <c r="U17" i="2" s="1"/>
  <c r="E16" i="2"/>
  <c r="U16" i="2" s="1"/>
  <c r="E15" i="2"/>
  <c r="U15" i="2" s="1"/>
  <c r="E14" i="2"/>
  <c r="U14" i="2" s="1"/>
  <c r="E13" i="2"/>
  <c r="U13" i="2" s="1"/>
  <c r="E12" i="2"/>
  <c r="U12" i="2" s="1"/>
  <c r="E11" i="2"/>
  <c r="U11" i="2" s="1"/>
  <c r="E10" i="2"/>
  <c r="U10" i="2" s="1"/>
  <c r="E9" i="2"/>
  <c r="U9" i="2" s="1"/>
  <c r="E8" i="2"/>
  <c r="U8" i="2" s="1"/>
  <c r="E7" i="2"/>
  <c r="U7" i="2" s="1"/>
  <c r="E6" i="2"/>
  <c r="U6" i="2" s="1"/>
  <c r="E5" i="2"/>
  <c r="U5" i="2" s="1"/>
  <c r="E4" i="2"/>
  <c r="E35" i="1"/>
  <c r="Y35" i="1" s="1"/>
  <c r="E34" i="1"/>
  <c r="Y34" i="1" s="1"/>
  <c r="E32" i="1"/>
  <c r="Y32" i="1" s="1"/>
  <c r="E31" i="1"/>
  <c r="Y31" i="1" s="1"/>
  <c r="E30" i="1"/>
  <c r="Y30" i="1" s="1"/>
  <c r="E29" i="1"/>
  <c r="Y29" i="1" s="1"/>
  <c r="E28" i="1"/>
  <c r="Y28" i="1" s="1"/>
  <c r="E27" i="1"/>
  <c r="Y27" i="1" s="1"/>
  <c r="E26" i="1"/>
  <c r="Y26" i="1" s="1"/>
  <c r="E25" i="1"/>
  <c r="Y25" i="1" s="1"/>
  <c r="E24" i="1"/>
  <c r="Y24" i="1" s="1"/>
  <c r="E23" i="1"/>
  <c r="Y23" i="1" s="1"/>
  <c r="E22" i="1"/>
  <c r="Y22" i="1" s="1"/>
  <c r="E21" i="1"/>
  <c r="Y21" i="1" s="1"/>
  <c r="E20" i="1"/>
  <c r="Y20" i="1" s="1"/>
  <c r="E19" i="1"/>
  <c r="Y19" i="1" s="1"/>
  <c r="E18" i="1"/>
  <c r="Y18" i="1" s="1"/>
  <c r="E17" i="1"/>
  <c r="Y17" i="1" s="1"/>
  <c r="E15" i="1"/>
  <c r="Y15" i="1" s="1"/>
  <c r="E14" i="1"/>
  <c r="Y14" i="1" s="1"/>
  <c r="E13" i="1"/>
  <c r="Y13" i="1" s="1"/>
  <c r="E12" i="1"/>
  <c r="Y12" i="1" s="1"/>
  <c r="E11" i="1"/>
  <c r="Y11" i="1" s="1"/>
  <c r="E10" i="1"/>
  <c r="Y10" i="1" s="1"/>
  <c r="E9" i="1"/>
  <c r="Y9" i="1" s="1"/>
  <c r="E8" i="1"/>
  <c r="Y8" i="1" s="1"/>
  <c r="E7" i="1"/>
  <c r="Y7" i="1" s="1"/>
  <c r="E6" i="1"/>
  <c r="Y6" i="1" s="1"/>
  <c r="E5" i="1"/>
  <c r="U4" i="2" l="1"/>
  <c r="Y5" i="1"/>
</calcChain>
</file>

<file path=xl/sharedStrings.xml><?xml version="1.0" encoding="utf-8"?>
<sst xmlns="http://schemas.openxmlformats.org/spreadsheetml/2006/main" count="879" uniqueCount="443">
  <si>
    <t>MUKUBA INSTITUTE OF HEALTH AND APPLIED SCIENCES</t>
  </si>
  <si>
    <t>RN5 JULY 2023 INTAKE</t>
  </si>
  <si>
    <t>COMPUTER NO.</t>
  </si>
  <si>
    <t>FIRST NAME</t>
  </si>
  <si>
    <t>SURNAME</t>
  </si>
  <si>
    <t>TOTAL FEES</t>
  </si>
  <si>
    <t>ROSEMARY</t>
  </si>
  <si>
    <t xml:space="preserve">MUSHENETI </t>
  </si>
  <si>
    <t>PRIDE</t>
  </si>
  <si>
    <t>MULUBWA</t>
  </si>
  <si>
    <t>MARY</t>
  </si>
  <si>
    <t>CHIKOMBA</t>
  </si>
  <si>
    <t>TRUST</t>
  </si>
  <si>
    <t>LUNGU</t>
  </si>
  <si>
    <t>NAOMI</t>
  </si>
  <si>
    <t>KAISA</t>
  </si>
  <si>
    <t>EDDIA</t>
  </si>
  <si>
    <t>MWILA</t>
  </si>
  <si>
    <t>BANDA</t>
  </si>
  <si>
    <t>SONGWE</t>
  </si>
  <si>
    <t>MUSONDA</t>
  </si>
  <si>
    <t>YOMBWE</t>
  </si>
  <si>
    <t>CHARITY</t>
  </si>
  <si>
    <t>MALAMA</t>
  </si>
  <si>
    <t>SIMON</t>
  </si>
  <si>
    <t>MATONGE</t>
  </si>
  <si>
    <t>MIKE</t>
  </si>
  <si>
    <t>MASHITA</t>
  </si>
  <si>
    <t>LUYANDO</t>
  </si>
  <si>
    <t>HANYOOLO</t>
  </si>
  <si>
    <t>NIVEA</t>
  </si>
  <si>
    <t xml:space="preserve">KUNDA </t>
  </si>
  <si>
    <t>GOESWELL</t>
  </si>
  <si>
    <t>MWAKA</t>
  </si>
  <si>
    <t>NYIMBILI</t>
  </si>
  <si>
    <t>TAMARAH</t>
  </si>
  <si>
    <t>MAYIMUNA</t>
  </si>
  <si>
    <t>DIA MACHAYI</t>
  </si>
  <si>
    <t>MELLAN</t>
  </si>
  <si>
    <t>LUPUPA</t>
  </si>
  <si>
    <t>BWALYA</t>
  </si>
  <si>
    <t>FLORENCE</t>
  </si>
  <si>
    <t>MOTELA</t>
  </si>
  <si>
    <t>MISTILLA</t>
  </si>
  <si>
    <t>MPUNDU</t>
  </si>
  <si>
    <t>SALOME</t>
  </si>
  <si>
    <t>NKWAMBANA</t>
  </si>
  <si>
    <t>SAMUEL</t>
  </si>
  <si>
    <t>CHILUFYA</t>
  </si>
  <si>
    <t>PETRONELLA</t>
  </si>
  <si>
    <t>MOTOKA</t>
  </si>
  <si>
    <t xml:space="preserve">JACKSON </t>
  </si>
  <si>
    <t>MULENGA</t>
  </si>
  <si>
    <t>JOSELINE</t>
  </si>
  <si>
    <t>CHIBANGE</t>
  </si>
  <si>
    <t>TINA</t>
  </si>
  <si>
    <t>CHENGA</t>
  </si>
  <si>
    <t>MARY CHONGO</t>
  </si>
  <si>
    <t>NGOSA</t>
  </si>
  <si>
    <t>CHIYANGI</t>
  </si>
  <si>
    <t>KAJIBA</t>
  </si>
  <si>
    <t>CHAMA</t>
  </si>
  <si>
    <t>MATIPA</t>
  </si>
  <si>
    <t xml:space="preserve">NOAMI </t>
  </si>
  <si>
    <t>MWAPE</t>
  </si>
  <si>
    <t>FAITH</t>
  </si>
  <si>
    <t>CHRISTINE</t>
  </si>
  <si>
    <t>NAKAMBA</t>
  </si>
  <si>
    <t xml:space="preserve">ESTHER </t>
  </si>
  <si>
    <t>LOMBE</t>
  </si>
  <si>
    <t>HELLEN</t>
  </si>
  <si>
    <t>KABWE</t>
  </si>
  <si>
    <t>07.01.26</t>
  </si>
  <si>
    <t>MBEWE</t>
  </si>
  <si>
    <t>JORDAN</t>
  </si>
  <si>
    <t>REGISTERED NURSUNG RN6</t>
  </si>
  <si>
    <t>JANUARY 2024 INTAKE</t>
  </si>
  <si>
    <t>GLORIA</t>
  </si>
  <si>
    <t>PHIRI</t>
  </si>
  <si>
    <t>NATASHA</t>
  </si>
  <si>
    <t>CHILESHE</t>
  </si>
  <si>
    <t>ADISTANESS</t>
  </si>
  <si>
    <t>EDITH</t>
  </si>
  <si>
    <t>NAMBELA</t>
  </si>
  <si>
    <t>EMMA</t>
  </si>
  <si>
    <t>KABALU</t>
  </si>
  <si>
    <t>NATALIE</t>
  </si>
  <si>
    <t>SUWILANJI</t>
  </si>
  <si>
    <t>KALUNGA</t>
  </si>
  <si>
    <t>CHISHIMBA</t>
  </si>
  <si>
    <t>BESNART</t>
  </si>
  <si>
    <t>DAKA</t>
  </si>
  <si>
    <t>BLESSINGS</t>
  </si>
  <si>
    <t>MALINGAPASI</t>
  </si>
  <si>
    <t>LISA</t>
  </si>
  <si>
    <t>KAWINA</t>
  </si>
  <si>
    <t>MERCY</t>
  </si>
  <si>
    <t>NAMWASE</t>
  </si>
  <si>
    <t>NERIA</t>
  </si>
  <si>
    <t>MWENDA</t>
  </si>
  <si>
    <t>WANIPA</t>
  </si>
  <si>
    <t>GONDWE</t>
  </si>
  <si>
    <t>BRIDGET</t>
  </si>
  <si>
    <t>LUBANGO</t>
  </si>
  <si>
    <t>MARIA</t>
  </si>
  <si>
    <t>MBUNJI</t>
  </si>
  <si>
    <t>LILLIAN</t>
  </si>
  <si>
    <t>CECILIA</t>
  </si>
  <si>
    <t>SIBANDA</t>
  </si>
  <si>
    <t>ETHEL</t>
  </si>
  <si>
    <t>CHIWAFWA</t>
  </si>
  <si>
    <t>KABASO</t>
  </si>
  <si>
    <t>NYANGU</t>
  </si>
  <si>
    <t>MOSES</t>
  </si>
  <si>
    <t>MBESHA</t>
  </si>
  <si>
    <t>LUKWESA</t>
  </si>
  <si>
    <t>ENESS</t>
  </si>
  <si>
    <t>.M. MULENGA</t>
  </si>
  <si>
    <t>JANE</t>
  </si>
  <si>
    <t>NYIKA</t>
  </si>
  <si>
    <t>KUNDA</t>
  </si>
  <si>
    <t>JACKLYN</t>
  </si>
  <si>
    <t>LONGWANI</t>
  </si>
  <si>
    <t>SANTE</t>
  </si>
  <si>
    <t>HOPE</t>
  </si>
  <si>
    <t>CHISHALA</t>
  </si>
  <si>
    <t>KASONGO</t>
  </si>
  <si>
    <t>JOHN</t>
  </si>
  <si>
    <t>MULAISHO</t>
  </si>
  <si>
    <t>SELAN</t>
  </si>
  <si>
    <t>MULAKU</t>
  </si>
  <si>
    <t>MEMORY</t>
  </si>
  <si>
    <t>MATHA</t>
  </si>
  <si>
    <t>MWALE CHISANGA</t>
  </si>
  <si>
    <t>BERTHA</t>
  </si>
  <si>
    <t>MULILO</t>
  </si>
  <si>
    <t>MWENYA</t>
  </si>
  <si>
    <t>AGNESS</t>
  </si>
  <si>
    <t>DUBE</t>
  </si>
  <si>
    <t>05.01.26</t>
  </si>
  <si>
    <t>RN7 STUDENTS   JULY 2024 INTAKE</t>
  </si>
  <si>
    <t>PATIENCE</t>
  </si>
  <si>
    <t>PENGE</t>
  </si>
  <si>
    <t>MUNDANDO</t>
  </si>
  <si>
    <t>MIRRIAM</t>
  </si>
  <si>
    <t>ZYAMBO</t>
  </si>
  <si>
    <t>MONICA</t>
  </si>
  <si>
    <t>KAONGA</t>
  </si>
  <si>
    <t>LOVENESS</t>
  </si>
  <si>
    <t>MUTWALE</t>
  </si>
  <si>
    <t>HILDAH</t>
  </si>
  <si>
    <t>SAKALA</t>
  </si>
  <si>
    <t>KAYULA</t>
  </si>
  <si>
    <t>CHANDA</t>
  </si>
  <si>
    <t>GETRUDE</t>
  </si>
  <si>
    <t>KASINGILE</t>
  </si>
  <si>
    <t>CHINYOSHA</t>
  </si>
  <si>
    <t>CHIKUMBI</t>
  </si>
  <si>
    <t>AGAPE</t>
  </si>
  <si>
    <t>MPAKANI</t>
  </si>
  <si>
    <t>SAKEYO</t>
  </si>
  <si>
    <t>SEKE</t>
  </si>
  <si>
    <t>ANGELA</t>
  </si>
  <si>
    <t>NGONA</t>
  </si>
  <si>
    <t>BEATRICE</t>
  </si>
  <si>
    <t>CHULU</t>
  </si>
  <si>
    <t>DILAN</t>
  </si>
  <si>
    <t>MWIZA</t>
  </si>
  <si>
    <t>JOAN</t>
  </si>
  <si>
    <t>KAMUA PETULU</t>
  </si>
  <si>
    <t>HAZIA</t>
  </si>
  <si>
    <t>MAPALO</t>
  </si>
  <si>
    <t>CHISULO</t>
  </si>
  <si>
    <t>ESTHER</t>
  </si>
  <si>
    <t>MUMBA</t>
  </si>
  <si>
    <t>REGISTERED NURSING JANUARY 2025 INTAKE ( RN8)</t>
  </si>
  <si>
    <t xml:space="preserve">FIRST NAME </t>
  </si>
  <si>
    <t>LAST NAME</t>
  </si>
  <si>
    <t>TOTAL</t>
  </si>
  <si>
    <t>MUNGOLE</t>
  </si>
  <si>
    <t>WACHAAMA</t>
  </si>
  <si>
    <t>PURITY</t>
  </si>
  <si>
    <t xml:space="preserve">BERTHA </t>
  </si>
  <si>
    <t>CHIBUYE</t>
  </si>
  <si>
    <t>QUEEN</t>
  </si>
  <si>
    <t>ALINJAVWA</t>
  </si>
  <si>
    <t xml:space="preserve">AGNESS </t>
  </si>
  <si>
    <t>NKANDU</t>
  </si>
  <si>
    <t xml:space="preserve">TAONGA </t>
  </si>
  <si>
    <t>CHAPENUKA</t>
  </si>
  <si>
    <t>MUBANGA</t>
  </si>
  <si>
    <t>SOPHIA</t>
  </si>
  <si>
    <t>LUNDA</t>
  </si>
  <si>
    <t xml:space="preserve">GRACE </t>
  </si>
  <si>
    <t>MUBAMBE</t>
  </si>
  <si>
    <t>ZULU</t>
  </si>
  <si>
    <t>JOYCE</t>
  </si>
  <si>
    <t>MULUBWE</t>
  </si>
  <si>
    <t>CHINFWEMBE</t>
  </si>
  <si>
    <t>TIZA</t>
  </si>
  <si>
    <t>KAPANGALA</t>
  </si>
  <si>
    <t>BWEUPE</t>
  </si>
  <si>
    <t>SERAH</t>
  </si>
  <si>
    <t>MWALE</t>
  </si>
  <si>
    <t>PEGGY</t>
  </si>
  <si>
    <t>HAMWEETE</t>
  </si>
  <si>
    <t>MUKUNSA</t>
  </si>
  <si>
    <t>KISHOMBE</t>
  </si>
  <si>
    <t>THELMA</t>
  </si>
  <si>
    <t>MWANZA</t>
  </si>
  <si>
    <t>DOROTHY</t>
  </si>
  <si>
    <t>CHIPAMPE</t>
  </si>
  <si>
    <t>DEBORAH</t>
  </si>
  <si>
    <t xml:space="preserve">FRIDAH </t>
  </si>
  <si>
    <t>ZIMBA</t>
  </si>
  <si>
    <t>BENJAMIN</t>
  </si>
  <si>
    <t>MAJORY</t>
  </si>
  <si>
    <t>MUCHIMBA</t>
  </si>
  <si>
    <t>FOSTINA</t>
  </si>
  <si>
    <t>CHABU</t>
  </si>
  <si>
    <t xml:space="preserve">ANNA </t>
  </si>
  <si>
    <t>MUMBA KALUMBA</t>
  </si>
  <si>
    <t>ROSINAH</t>
  </si>
  <si>
    <t>MUKALO</t>
  </si>
  <si>
    <t>SALIFYANJI</t>
  </si>
  <si>
    <t>NALUNGWE</t>
  </si>
  <si>
    <t>ALBERTINA</t>
  </si>
  <si>
    <t>KASALE</t>
  </si>
  <si>
    <t>MILIKAH</t>
  </si>
  <si>
    <t>MULONDA</t>
  </si>
  <si>
    <t>MARTHA</t>
  </si>
  <si>
    <t>SABUMBA</t>
  </si>
  <si>
    <t>REGISTERED NURSING JULY 2025 INTAKE RN9</t>
  </si>
  <si>
    <t>COMPUTER NO</t>
  </si>
  <si>
    <t>JESSY</t>
  </si>
  <si>
    <t>RACHEAL</t>
  </si>
  <si>
    <t>VIRUKAYI</t>
  </si>
  <si>
    <t>RABBECCA</t>
  </si>
  <si>
    <t>MWEWA</t>
  </si>
  <si>
    <t>BARBRA</t>
  </si>
  <si>
    <t>MWAMWAYA</t>
  </si>
  <si>
    <t>MICKNESS</t>
  </si>
  <si>
    <t>MIDAH</t>
  </si>
  <si>
    <t>SAITI</t>
  </si>
  <si>
    <t>TIZASO</t>
  </si>
  <si>
    <t>KAIRA</t>
  </si>
  <si>
    <t>RITA</t>
  </si>
  <si>
    <t>TAONGA</t>
  </si>
  <si>
    <t xml:space="preserve">IREEN </t>
  </si>
  <si>
    <t>LOLO MOFYA</t>
  </si>
  <si>
    <t>MWANSA</t>
  </si>
  <si>
    <t>BELINA</t>
  </si>
  <si>
    <t>LUSAMBO</t>
  </si>
  <si>
    <t>MELINA</t>
  </si>
  <si>
    <t>BUCZKO</t>
  </si>
  <si>
    <t>KAMWANYA</t>
  </si>
  <si>
    <t>KETTY</t>
  </si>
  <si>
    <t>08.01.26</t>
  </si>
  <si>
    <t>06.01.26</t>
  </si>
  <si>
    <t xml:space="preserve">   MUKUBA INSTITUTE OF HEALTH AND APPLIED SCIENCES</t>
  </si>
  <si>
    <t>TOTAL PAID</t>
  </si>
  <si>
    <t>BALANCE</t>
  </si>
  <si>
    <t>PRECLY</t>
  </si>
  <si>
    <t>29.09.25</t>
  </si>
  <si>
    <t>17.10.25</t>
  </si>
  <si>
    <t>MAINDA</t>
  </si>
  <si>
    <t>06.01.25</t>
  </si>
  <si>
    <t>SHARON</t>
  </si>
  <si>
    <t>MOFYA</t>
  </si>
  <si>
    <t>23.10.25</t>
  </si>
  <si>
    <t>17.11.25</t>
  </si>
  <si>
    <t>22.12.25</t>
  </si>
  <si>
    <t>TISA</t>
  </si>
  <si>
    <t>KAPENGWE</t>
  </si>
  <si>
    <t>28.11.25</t>
  </si>
  <si>
    <t>CATHERINE</t>
  </si>
  <si>
    <t>29.11.25</t>
  </si>
  <si>
    <t>CHUNGU</t>
  </si>
  <si>
    <t>01.12.25</t>
  </si>
  <si>
    <t>03.01.26</t>
  </si>
  <si>
    <t>KAZOMBA</t>
  </si>
  <si>
    <t>19.11.25</t>
  </si>
  <si>
    <t>09.12.25</t>
  </si>
  <si>
    <t>06.12.25</t>
  </si>
  <si>
    <t>KABIKA</t>
  </si>
  <si>
    <t>27.03.24</t>
  </si>
  <si>
    <t>30.12.25</t>
  </si>
  <si>
    <t>PENELOPE</t>
  </si>
  <si>
    <t>31.12.25</t>
  </si>
  <si>
    <t>LWANGA</t>
  </si>
  <si>
    <t>11.12.25</t>
  </si>
  <si>
    <t>HANABULUBA</t>
  </si>
  <si>
    <t>18.12.25</t>
  </si>
  <si>
    <t>ROSE</t>
  </si>
  <si>
    <t>MWAMBA</t>
  </si>
  <si>
    <t>07.01.25</t>
  </si>
  <si>
    <t>02.01.26</t>
  </si>
  <si>
    <t xml:space="preserve">TOTAL PAID </t>
  </si>
  <si>
    <t>14.01.26</t>
  </si>
  <si>
    <t>12.01.26</t>
  </si>
  <si>
    <t>11.01.26</t>
  </si>
  <si>
    <t>15.01.25</t>
  </si>
  <si>
    <t>15.01.26</t>
  </si>
  <si>
    <t>13.01.26</t>
  </si>
  <si>
    <t>12.10.25</t>
  </si>
  <si>
    <t>19.01.26</t>
  </si>
  <si>
    <t>20.01.26</t>
  </si>
  <si>
    <t>16.01.26</t>
  </si>
  <si>
    <t>18.01.26</t>
  </si>
  <si>
    <t>21.01.26</t>
  </si>
  <si>
    <t>22.01.26</t>
  </si>
  <si>
    <t>09.01.25</t>
  </si>
  <si>
    <t>23.01.26</t>
  </si>
  <si>
    <t>24.01.26</t>
  </si>
  <si>
    <t>25.01.26</t>
  </si>
  <si>
    <t>26.01.26</t>
  </si>
  <si>
    <t>27.01.26</t>
  </si>
  <si>
    <t>28.01.26</t>
  </si>
  <si>
    <t>29.01.26</t>
  </si>
  <si>
    <t>02.07.26</t>
  </si>
  <si>
    <t>02.02.26</t>
  </si>
  <si>
    <t>AMINA</t>
  </si>
  <si>
    <t>ISA</t>
  </si>
  <si>
    <t>MWEEMBA</t>
  </si>
  <si>
    <t>03.02.26</t>
  </si>
  <si>
    <t>30.01.26</t>
  </si>
  <si>
    <t>04.02.26</t>
  </si>
  <si>
    <t>04.01.26</t>
  </si>
  <si>
    <t>08.02.26</t>
  </si>
  <si>
    <t>29.02.26</t>
  </si>
  <si>
    <t>24.12.25</t>
  </si>
  <si>
    <t>12.02.26</t>
  </si>
  <si>
    <t>10.02.26</t>
  </si>
  <si>
    <t>07.02.26</t>
  </si>
  <si>
    <t>05.02.26</t>
  </si>
  <si>
    <t>31.01.26</t>
  </si>
  <si>
    <t>06.02.26</t>
  </si>
  <si>
    <t>16.02.26</t>
  </si>
  <si>
    <t>17.02.26</t>
  </si>
  <si>
    <t>14.02.26</t>
  </si>
  <si>
    <t>JAMBWA</t>
  </si>
  <si>
    <t>24.02.24</t>
  </si>
  <si>
    <t>24.02.26</t>
  </si>
  <si>
    <t>BAD DEBTS</t>
  </si>
  <si>
    <t>27.02.26</t>
  </si>
  <si>
    <t>01.03.26</t>
  </si>
  <si>
    <t>28.02.26</t>
  </si>
  <si>
    <t>02.03.26</t>
  </si>
  <si>
    <t>MUNGA</t>
  </si>
  <si>
    <t>23.02.26</t>
  </si>
  <si>
    <t>03.03.26</t>
  </si>
  <si>
    <t>25.02.26</t>
  </si>
  <si>
    <t>21.02.26</t>
  </si>
  <si>
    <t xml:space="preserve">ALICE </t>
  </si>
  <si>
    <t>CHUNDA</t>
  </si>
  <si>
    <t>04.03.26</t>
  </si>
  <si>
    <t>12.03.26</t>
  </si>
  <si>
    <t>09.03.26</t>
  </si>
  <si>
    <t>13.03.26</t>
  </si>
  <si>
    <t>14.03.26</t>
  </si>
  <si>
    <t>JAN</t>
  </si>
  <si>
    <t>FEB</t>
  </si>
  <si>
    <t>MAR</t>
  </si>
  <si>
    <t>APR</t>
  </si>
  <si>
    <t>MAY</t>
  </si>
  <si>
    <t>JUNE</t>
  </si>
  <si>
    <t>JUN</t>
  </si>
  <si>
    <t>23.12.26</t>
  </si>
  <si>
    <t>31.12.26</t>
  </si>
  <si>
    <t>CHIKANYA</t>
  </si>
  <si>
    <t>16.03.26</t>
  </si>
  <si>
    <t>10.03.26</t>
  </si>
  <si>
    <t>17.03.26</t>
  </si>
  <si>
    <t>18.03.26</t>
  </si>
  <si>
    <t>19.03.26</t>
  </si>
  <si>
    <t>MFULA</t>
  </si>
  <si>
    <t>20.03.26</t>
  </si>
  <si>
    <t>MAFUTA</t>
  </si>
  <si>
    <t>NORIAH</t>
  </si>
  <si>
    <t>SUSAN</t>
  </si>
  <si>
    <t>NYANGULU</t>
  </si>
  <si>
    <t>SAMINGANJA</t>
  </si>
  <si>
    <t>DELIA</t>
  </si>
  <si>
    <t>KAWECHE</t>
  </si>
  <si>
    <t>JOY</t>
  </si>
  <si>
    <t>TEMBO</t>
  </si>
  <si>
    <t>RONEL</t>
  </si>
  <si>
    <t>CHAPEWA</t>
  </si>
  <si>
    <t>FYANTONTO</t>
  </si>
  <si>
    <t>KAMBOLE</t>
  </si>
  <si>
    <t>LETICIA</t>
  </si>
  <si>
    <t>23.03.26</t>
  </si>
  <si>
    <t>MERANDA</t>
  </si>
  <si>
    <t>NSOKOLO</t>
  </si>
  <si>
    <t>22.03.26</t>
  </si>
  <si>
    <t>24.03.26</t>
  </si>
  <si>
    <t>25.03.26</t>
  </si>
  <si>
    <t>13.01.25</t>
  </si>
  <si>
    <t>21.02.25</t>
  </si>
  <si>
    <t>26.03.26</t>
  </si>
  <si>
    <t>28.03.26</t>
  </si>
  <si>
    <t>30.03.26</t>
  </si>
  <si>
    <t>27.03.26</t>
  </si>
  <si>
    <t>RN5 LIST OF STUDENTS WITH BALANCES</t>
  </si>
  <si>
    <t xml:space="preserve">SAMUEL </t>
  </si>
  <si>
    <t>LAST SEMESTER</t>
  </si>
  <si>
    <t>CURRENT BALANCE</t>
  </si>
  <si>
    <t>21.03.26</t>
  </si>
  <si>
    <t>31.03.26</t>
  </si>
  <si>
    <t>09.01.26</t>
  </si>
  <si>
    <t>09.12.26</t>
  </si>
  <si>
    <t>01.04.26</t>
  </si>
  <si>
    <t>02.04.26</t>
  </si>
  <si>
    <t>07.04.26</t>
  </si>
  <si>
    <t>06.04.26</t>
  </si>
  <si>
    <t>03.04.26</t>
  </si>
  <si>
    <t>04.04.26</t>
  </si>
  <si>
    <t>08.04.26</t>
  </si>
  <si>
    <t>09.04.26</t>
  </si>
  <si>
    <t>08.04.25</t>
  </si>
  <si>
    <t>10.04.26</t>
  </si>
  <si>
    <t>13.04.26</t>
  </si>
  <si>
    <t>11.04.26</t>
  </si>
  <si>
    <t>CATHERINE PELILE</t>
  </si>
  <si>
    <t>15.04.26</t>
  </si>
  <si>
    <t>20.04.26</t>
  </si>
  <si>
    <t>17.04.26</t>
  </si>
  <si>
    <t>NJOVU</t>
  </si>
  <si>
    <t>19.04.26</t>
  </si>
  <si>
    <t>DIANA</t>
  </si>
  <si>
    <t>MUTEKENYA</t>
  </si>
  <si>
    <t>MATHEWS</t>
  </si>
  <si>
    <t>VASI</t>
  </si>
  <si>
    <t>DORIS</t>
  </si>
  <si>
    <t>GIFT</t>
  </si>
  <si>
    <t>MABLE</t>
  </si>
  <si>
    <t>SINJABU</t>
  </si>
  <si>
    <t>14.04.26</t>
  </si>
  <si>
    <t>16.04.26</t>
  </si>
  <si>
    <t>04.02.2026</t>
  </si>
  <si>
    <t>18.04.26</t>
  </si>
  <si>
    <t>21.04.26</t>
  </si>
  <si>
    <t>23.04.26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</si>
</sst>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_-"/>
    <numFmt numFmtId="165" formatCode="_-* #,##0_-;\-* #,##0_-;_-* &quot;-&quot;??_-;_-@_-"/>
  </numFmts>
  <fonts count="12">
    <font>
      <sz val="11"/>
      <color theme="1"/>
      <name val="Aptos Narrow"/>
      <family val="2"/>
      <scheme val="minor"/>
    </font>
    <font>
      <sz val="12"/>
      <color theme="1"/>
      <name val="Bookman Old Style"/>
      <family val="1"/>
    </font>
    <font>
      <b/>
      <sz val="12"/>
      <color theme="1"/>
      <name val="Bookman Old Style"/>
      <family val="1"/>
    </font>
    <font>
      <sz val="12"/>
      <name val="Bookman Old Style"/>
      <family val="1"/>
    </font>
    <font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sz val="11"/>
      <color theme="1"/>
      <name val="Bookman Old Style"/>
      <family val="1"/>
    </font>
    <font>
      <sz val="11"/>
      <name val="Bookman Old Style"/>
      <family val="1"/>
    </font>
    <font>
      <sz val="11"/>
      <color rgb="FFFF0000"/>
      <name val="Bookman Old Style"/>
      <family val="1"/>
    </font>
    <font>
      <sz val="11"/>
      <color rgb="FFED0000"/>
      <name val="Bookman Old Style"/>
      <family val="1"/>
    </font>
    <font>
      <sz val="12"/>
      <color rgb="FFFF0000"/>
      <name val="Bookman Old Style"/>
      <family val="1"/>
    </font>
    <font>
      <sz val="12"/>
      <color rgb="FFED0000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5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top"/>
    </xf>
    <xf numFmtId="0" fontId="6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6" fillId="0" borderId="1" xfId="0" applyFont="1" applyBorder="1" applyAlignment="1">
      <alignment horizontal="center"/>
    </xf>
    <xf numFmtId="0" fontId="2" fillId="0" borderId="0" xfId="0" applyFont="1" applyAlignment="1">
      <alignment horizontal="left" indent="18"/>
    </xf>
    <xf numFmtId="0" fontId="2" fillId="0" borderId="0" xfId="0" applyFont="1" applyAlignment="1">
      <alignment horizontal="left" indent="26"/>
    </xf>
    <xf numFmtId="0" fontId="1" fillId="0" borderId="0" xfId="0" applyFont="1" applyAlignment="1">
      <alignment horizontal="left" indent="4"/>
    </xf>
    <xf numFmtId="0" fontId="10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0" fillId="0" borderId="1" xfId="0" applyFont="1" applyBorder="1"/>
    <xf numFmtId="0" fontId="3" fillId="0" borderId="1" xfId="0" applyFont="1" applyBorder="1"/>
    <xf numFmtId="3" fontId="11" fillId="0" borderId="1" xfId="0" applyNumberFormat="1" applyFont="1" applyBorder="1"/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/>
    <xf numFmtId="0" fontId="2" fillId="0" borderId="0" xfId="0" applyFont="1" applyAlignment="1">
      <alignment horizontal="left" indent="8"/>
    </xf>
    <xf numFmtId="165" fontId="1" fillId="0" borderId="0" xfId="1" applyNumberFormat="1" applyFont="1" applyAlignment="1">
      <alignment horizontal="center"/>
    </xf>
    <xf numFmtId="0" fontId="2" fillId="0" borderId="0" xfId="0" applyFont="1" applyAlignment="1">
      <alignment horizontal="left" indent="10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5" fontId="1" fillId="0" borderId="1" xfId="1" applyNumberFormat="1" applyFont="1" applyBorder="1" applyAlignment="1">
      <alignment horizontal="center"/>
    </xf>
    <xf numFmtId="165" fontId="1" fillId="0" borderId="1" xfId="1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left" indent="8"/>
    </xf>
    <xf numFmtId="165" fontId="6" fillId="0" borderId="0" xfId="1" applyNumberFormat="1" applyFont="1" applyAlignment="1">
      <alignment horizontal="center"/>
    </xf>
    <xf numFmtId="0" fontId="6" fillId="0" borderId="0" xfId="0" applyFont="1" applyFill="1"/>
    <xf numFmtId="0" fontId="6" fillId="0" borderId="1" xfId="0" applyFont="1" applyFill="1" applyBorder="1" applyAlignment="1">
      <alignment horizontal="center"/>
    </xf>
    <xf numFmtId="0" fontId="6" fillId="0" borderId="1" xfId="0" applyFont="1" applyFill="1" applyBorder="1"/>
    <xf numFmtId="0" fontId="8" fillId="0" borderId="1" xfId="0" applyFont="1" applyFill="1" applyBorder="1"/>
    <xf numFmtId="0" fontId="5" fillId="0" borderId="0" xfId="0" applyFont="1" applyAlignment="1">
      <alignment horizontal="left"/>
    </xf>
    <xf numFmtId="0" fontId="6" fillId="0" borderId="1" xfId="0" applyFont="1" applyBorder="1" applyAlignment="1">
      <alignment horizontal="left"/>
    </xf>
    <xf numFmtId="3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1"/>
  <sheetViews>
    <sheetView topLeftCell="A37" zoomScaleNormal="100" workbookViewId="0">
      <selection activeCell="A42" sqref="A42:XFD42"/>
    </sheetView>
  </sheetViews>
  <sheetFormatPr defaultRowHeight="15"/>
  <cols>
    <col min="1" max="1" width="6.125" style="8" customWidth="1"/>
    <col min="2" max="2" width="14.125" style="8" customWidth="1"/>
    <col min="3" max="3" width="19.125" style="7" customWidth="1"/>
    <col min="4" max="4" width="15.25" style="7" customWidth="1"/>
    <col min="5" max="5" width="13.375" style="8" customWidth="1"/>
    <col min="6" max="6" width="10.625" style="7" bestFit="1" customWidth="1"/>
    <col min="7" max="7" width="8.125" style="8" customWidth="1"/>
    <col min="8" max="8" width="10.5" style="8" customWidth="1"/>
    <col min="9" max="9" width="10.625" style="7" bestFit="1" customWidth="1"/>
    <col min="10" max="10" width="9" style="7" customWidth="1"/>
    <col min="11" max="11" width="10.625" style="7" bestFit="1" customWidth="1"/>
    <col min="12" max="12" width="9" style="7" customWidth="1"/>
    <col min="13" max="13" width="11" style="7" customWidth="1"/>
    <col min="14" max="14" width="9" style="7" customWidth="1"/>
    <col min="15" max="15" width="9" style="7"/>
    <col min="16" max="16" width="9" style="7" customWidth="1"/>
    <col min="17" max="23" width="9" style="7"/>
    <col min="24" max="24" width="14.5" style="8" customWidth="1"/>
    <col min="25" max="25" width="11.625" style="8" bestFit="1" customWidth="1"/>
    <col min="26" max="16384" width="9" style="7"/>
  </cols>
  <sheetData>
    <row r="1" spans="1:25">
      <c r="B1" s="9" t="s">
        <v>0</v>
      </c>
      <c r="C1" s="4"/>
      <c r="D1" s="4"/>
      <c r="E1" s="9"/>
    </row>
    <row r="2" spans="1:25">
      <c r="B2" s="10" t="s">
        <v>1</v>
      </c>
      <c r="C2" s="4"/>
      <c r="D2" s="4"/>
      <c r="E2" s="9"/>
    </row>
    <row r="3" spans="1:25">
      <c r="A3" s="16"/>
      <c r="B3" s="12" t="s">
        <v>2</v>
      </c>
      <c r="C3" s="13" t="s">
        <v>3</v>
      </c>
      <c r="D3" s="13" t="s">
        <v>4</v>
      </c>
      <c r="E3" s="12" t="s">
        <v>5</v>
      </c>
      <c r="F3" s="11"/>
      <c r="G3" s="12" t="s">
        <v>360</v>
      </c>
      <c r="H3" s="16"/>
      <c r="I3" s="13" t="s">
        <v>361</v>
      </c>
      <c r="J3" s="11"/>
      <c r="K3" s="13" t="s">
        <v>362</v>
      </c>
      <c r="L3" s="11"/>
      <c r="M3" s="13" t="s">
        <v>363</v>
      </c>
      <c r="N3" s="11"/>
      <c r="O3" s="13" t="s">
        <v>364</v>
      </c>
      <c r="P3" s="11"/>
      <c r="Q3" s="13" t="s">
        <v>365</v>
      </c>
      <c r="R3" s="11"/>
      <c r="S3" s="11"/>
      <c r="T3" s="11"/>
      <c r="U3" s="11"/>
      <c r="V3" s="11"/>
      <c r="W3" s="11"/>
      <c r="X3" s="12" t="s">
        <v>297</v>
      </c>
      <c r="Y3" s="12" t="s">
        <v>261</v>
      </c>
    </row>
    <row r="4" spans="1:25">
      <c r="A4" s="16">
        <v>1</v>
      </c>
      <c r="B4" s="14">
        <v>202307002</v>
      </c>
      <c r="C4" s="15" t="s">
        <v>6</v>
      </c>
      <c r="D4" s="15" t="s">
        <v>7</v>
      </c>
      <c r="E4" s="16"/>
      <c r="F4" s="11"/>
      <c r="G4" s="16"/>
      <c r="H4" s="16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6">
        <f>SUM(F4+G4+I4+K4+M4+O4+Q4+S4+U4)</f>
        <v>0</v>
      </c>
      <c r="Y4" s="16">
        <f t="shared" ref="Y4:Y35" si="0">E4-X4</f>
        <v>0</v>
      </c>
    </row>
    <row r="5" spans="1:25">
      <c r="A5" s="16">
        <v>2</v>
      </c>
      <c r="B5" s="16">
        <v>202307004</v>
      </c>
      <c r="C5" s="11" t="s">
        <v>8</v>
      </c>
      <c r="D5" s="11" t="s">
        <v>9</v>
      </c>
      <c r="E5" s="16">
        <f>8200</f>
        <v>8200</v>
      </c>
      <c r="F5" s="11"/>
      <c r="G5" s="16">
        <v>4000</v>
      </c>
      <c r="H5" s="16" t="s">
        <v>72</v>
      </c>
      <c r="I5" s="11">
        <v>4200</v>
      </c>
      <c r="J5" s="11" t="s">
        <v>72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6">
        <f>SUM(F5+G5+I5+K5+M5+O5+Q5+S5+U5)</f>
        <v>8200</v>
      </c>
      <c r="Y5" s="16">
        <f t="shared" si="0"/>
        <v>0</v>
      </c>
    </row>
    <row r="6" spans="1:25">
      <c r="A6" s="16">
        <v>3</v>
      </c>
      <c r="B6" s="16">
        <v>202307005</v>
      </c>
      <c r="C6" s="11" t="s">
        <v>10</v>
      </c>
      <c r="D6" s="11" t="s">
        <v>11</v>
      </c>
      <c r="E6" s="16">
        <f>8200</f>
        <v>8200</v>
      </c>
      <c r="F6" s="11"/>
      <c r="G6" s="16">
        <v>5000</v>
      </c>
      <c r="H6" s="16" t="s">
        <v>316</v>
      </c>
      <c r="I6" s="11"/>
      <c r="J6" s="11"/>
      <c r="K6" s="11">
        <v>2000</v>
      </c>
      <c r="L6" s="11" t="s">
        <v>376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6">
        <f>SUM(F6+G6+I6+K6+M6+O6+Q6+S6+U6)</f>
        <v>7000</v>
      </c>
      <c r="Y6" s="16">
        <f t="shared" si="0"/>
        <v>1200</v>
      </c>
    </row>
    <row r="7" spans="1:25">
      <c r="A7" s="16">
        <v>4</v>
      </c>
      <c r="B7" s="16">
        <v>202307009</v>
      </c>
      <c r="C7" s="11" t="s">
        <v>12</v>
      </c>
      <c r="D7" s="11" t="s">
        <v>13</v>
      </c>
      <c r="E7" s="16">
        <f>8200</f>
        <v>8200</v>
      </c>
      <c r="F7" s="11"/>
      <c r="G7" s="16">
        <v>4200</v>
      </c>
      <c r="H7" s="16" t="s">
        <v>299</v>
      </c>
      <c r="I7" s="11">
        <v>1000</v>
      </c>
      <c r="J7" s="11" t="s">
        <v>279</v>
      </c>
      <c r="K7" s="11">
        <v>3000</v>
      </c>
      <c r="L7" s="11" t="s">
        <v>342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6">
        <f>SUM(F7+G7+K7+I7+M7+O7+Q7+S7+U7)</f>
        <v>8200</v>
      </c>
      <c r="Y7" s="16">
        <f t="shared" si="0"/>
        <v>0</v>
      </c>
    </row>
    <row r="8" spans="1:25">
      <c r="A8" s="16">
        <v>5</v>
      </c>
      <c r="B8" s="16">
        <v>202307049</v>
      </c>
      <c r="C8" s="11" t="s">
        <v>14</v>
      </c>
      <c r="D8" s="11" t="s">
        <v>15</v>
      </c>
      <c r="E8" s="16">
        <f>8200</f>
        <v>8200</v>
      </c>
      <c r="F8" s="11"/>
      <c r="G8" s="16">
        <v>4100</v>
      </c>
      <c r="H8" s="16" t="s">
        <v>303</v>
      </c>
      <c r="I8" s="11">
        <v>4100</v>
      </c>
      <c r="J8" s="11" t="s">
        <v>399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6">
        <f t="shared" ref="X8:X49" si="1">SUM(F8+G8+I8+K8+M8+O8+Q8+S8+U8)</f>
        <v>8200</v>
      </c>
      <c r="Y8" s="16">
        <f t="shared" si="0"/>
        <v>0</v>
      </c>
    </row>
    <row r="9" spans="1:25">
      <c r="A9" s="16">
        <v>6</v>
      </c>
      <c r="B9" s="16">
        <v>202307011</v>
      </c>
      <c r="C9" s="11" t="s">
        <v>16</v>
      </c>
      <c r="D9" s="11" t="s">
        <v>17</v>
      </c>
      <c r="E9" s="16">
        <f>8200</f>
        <v>8200</v>
      </c>
      <c r="F9" s="11"/>
      <c r="G9" s="16">
        <v>2000</v>
      </c>
      <c r="H9" s="16" t="s">
        <v>310</v>
      </c>
      <c r="I9" s="11">
        <v>2000</v>
      </c>
      <c r="J9" s="11" t="s">
        <v>317</v>
      </c>
      <c r="K9" s="11">
        <v>1000</v>
      </c>
      <c r="L9" s="11" t="s">
        <v>372</v>
      </c>
      <c r="M9" s="11">
        <v>1000</v>
      </c>
      <c r="N9" s="11" t="s">
        <v>374</v>
      </c>
      <c r="O9" s="11"/>
      <c r="P9" s="11"/>
      <c r="Q9" s="11"/>
      <c r="R9" s="11"/>
      <c r="S9" s="11"/>
      <c r="T9" s="11"/>
      <c r="U9" s="11"/>
      <c r="V9" s="11"/>
      <c r="W9" s="11"/>
      <c r="X9" s="16">
        <f t="shared" si="1"/>
        <v>6000</v>
      </c>
      <c r="Y9" s="16">
        <f t="shared" si="0"/>
        <v>2200</v>
      </c>
    </row>
    <row r="10" spans="1:25">
      <c r="A10" s="16">
        <v>7</v>
      </c>
      <c r="B10" s="16">
        <v>202307014</v>
      </c>
      <c r="C10" s="11" t="s">
        <v>19</v>
      </c>
      <c r="D10" s="11" t="s">
        <v>20</v>
      </c>
      <c r="E10" s="16">
        <f>8200</f>
        <v>8200</v>
      </c>
      <c r="F10" s="11"/>
      <c r="G10" s="16">
        <v>4000</v>
      </c>
      <c r="H10" s="16" t="s">
        <v>72</v>
      </c>
      <c r="I10" s="11">
        <v>2000</v>
      </c>
      <c r="J10" s="11" t="s">
        <v>72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6">
        <f t="shared" si="1"/>
        <v>6000</v>
      </c>
      <c r="Y10" s="16">
        <f t="shared" si="0"/>
        <v>2200</v>
      </c>
    </row>
    <row r="11" spans="1:25">
      <c r="A11" s="16">
        <v>8</v>
      </c>
      <c r="B11" s="16">
        <v>202307015</v>
      </c>
      <c r="C11" s="11" t="s">
        <v>10</v>
      </c>
      <c r="D11" s="11" t="s">
        <v>21</v>
      </c>
      <c r="E11" s="16">
        <f>8200</f>
        <v>8200</v>
      </c>
      <c r="F11" s="11"/>
      <c r="G11" s="16">
        <v>2000</v>
      </c>
      <c r="H11" s="16" t="s">
        <v>309</v>
      </c>
      <c r="I11" s="11">
        <v>2000</v>
      </c>
      <c r="J11" s="11" t="s">
        <v>335</v>
      </c>
      <c r="K11" s="11">
        <v>2000</v>
      </c>
      <c r="L11" s="11" t="s">
        <v>344</v>
      </c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6">
        <f t="shared" si="1"/>
        <v>6000</v>
      </c>
      <c r="Y11" s="16">
        <f t="shared" si="0"/>
        <v>2200</v>
      </c>
    </row>
    <row r="12" spans="1:25">
      <c r="A12" s="16">
        <v>9</v>
      </c>
      <c r="B12" s="16">
        <v>202307019</v>
      </c>
      <c r="C12" s="11" t="s">
        <v>22</v>
      </c>
      <c r="D12" s="11" t="s">
        <v>23</v>
      </c>
      <c r="E12" s="16">
        <f>8200</f>
        <v>8200</v>
      </c>
      <c r="F12" s="11"/>
      <c r="G12" s="16">
        <v>4000</v>
      </c>
      <c r="H12" s="16" t="s">
        <v>312</v>
      </c>
      <c r="I12" s="11">
        <v>4200</v>
      </c>
      <c r="J12" s="11" t="s">
        <v>312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6">
        <f t="shared" si="1"/>
        <v>8200</v>
      </c>
      <c r="Y12" s="16">
        <f t="shared" si="0"/>
        <v>0</v>
      </c>
    </row>
    <row r="13" spans="1:25">
      <c r="A13" s="16">
        <v>10</v>
      </c>
      <c r="B13" s="16">
        <v>202307020</v>
      </c>
      <c r="C13" s="11" t="s">
        <v>24</v>
      </c>
      <c r="D13" s="11" t="s">
        <v>25</v>
      </c>
      <c r="E13" s="16">
        <f>8200</f>
        <v>8200</v>
      </c>
      <c r="F13" s="11"/>
      <c r="G13" s="16"/>
      <c r="H13" s="16"/>
      <c r="I13" s="11"/>
      <c r="J13" s="11"/>
      <c r="K13" s="11">
        <v>6500</v>
      </c>
      <c r="L13" s="11" t="s">
        <v>376</v>
      </c>
      <c r="M13" s="11">
        <f>2000-300</f>
        <v>1700</v>
      </c>
      <c r="N13" s="11" t="s">
        <v>394</v>
      </c>
      <c r="O13" s="11"/>
      <c r="P13" s="11"/>
      <c r="Q13" s="11"/>
      <c r="R13" s="11"/>
      <c r="S13" s="11"/>
      <c r="T13" s="11"/>
      <c r="U13" s="11"/>
      <c r="V13" s="11"/>
      <c r="W13" s="11"/>
      <c r="X13" s="16">
        <f t="shared" si="1"/>
        <v>8200</v>
      </c>
      <c r="Y13" s="16">
        <f t="shared" si="0"/>
        <v>0</v>
      </c>
    </row>
    <row r="14" spans="1:25">
      <c r="A14" s="16">
        <v>11</v>
      </c>
      <c r="B14" s="16">
        <v>202307021</v>
      </c>
      <c r="C14" s="11" t="s">
        <v>26</v>
      </c>
      <c r="D14" s="11" t="s">
        <v>27</v>
      </c>
      <c r="E14" s="16">
        <f>8200</f>
        <v>8200</v>
      </c>
      <c r="F14" s="11"/>
      <c r="G14" s="16">
        <v>6800</v>
      </c>
      <c r="H14" s="16" t="s">
        <v>296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6">
        <f t="shared" si="1"/>
        <v>6800</v>
      </c>
      <c r="Y14" s="16">
        <f t="shared" si="0"/>
        <v>1400</v>
      </c>
    </row>
    <row r="15" spans="1:25">
      <c r="A15" s="16">
        <v>12</v>
      </c>
      <c r="B15" s="16">
        <v>202307022</v>
      </c>
      <c r="C15" s="11" t="s">
        <v>28</v>
      </c>
      <c r="D15" s="11" t="s">
        <v>29</v>
      </c>
      <c r="E15" s="16">
        <f>8200</f>
        <v>8200</v>
      </c>
      <c r="F15" s="11"/>
      <c r="G15" s="16">
        <v>8200</v>
      </c>
      <c r="H15" s="16" t="s">
        <v>139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6">
        <f t="shared" si="1"/>
        <v>8200</v>
      </c>
      <c r="Y15" s="16">
        <f t="shared" si="0"/>
        <v>0</v>
      </c>
    </row>
    <row r="16" spans="1:25">
      <c r="A16" s="16">
        <v>13</v>
      </c>
      <c r="B16" s="16">
        <v>202307023</v>
      </c>
      <c r="C16" s="11" t="s">
        <v>30</v>
      </c>
      <c r="D16" s="11" t="s">
        <v>31</v>
      </c>
      <c r="E16" s="16">
        <v>4200</v>
      </c>
      <c r="F16" s="11"/>
      <c r="G16" s="16">
        <v>2000</v>
      </c>
      <c r="H16" s="16" t="s">
        <v>303</v>
      </c>
      <c r="I16" s="11">
        <v>300</v>
      </c>
      <c r="J16" s="11" t="s">
        <v>325</v>
      </c>
      <c r="K16" s="11">
        <v>1000</v>
      </c>
      <c r="L16" s="11" t="s">
        <v>376</v>
      </c>
      <c r="M16" s="11">
        <v>400</v>
      </c>
      <c r="N16" s="11" t="s">
        <v>391</v>
      </c>
      <c r="O16" s="11">
        <v>600</v>
      </c>
      <c r="P16" s="11" t="s">
        <v>417</v>
      </c>
      <c r="Q16" s="11"/>
      <c r="R16" s="11"/>
      <c r="S16" s="11"/>
      <c r="T16" s="11"/>
      <c r="U16" s="11"/>
      <c r="V16" s="11"/>
      <c r="W16" s="11"/>
      <c r="X16" s="16">
        <f t="shared" si="1"/>
        <v>4300</v>
      </c>
      <c r="Y16" s="16">
        <f t="shared" si="0"/>
        <v>-100</v>
      </c>
    </row>
    <row r="17" spans="1:25">
      <c r="A17" s="16">
        <v>14</v>
      </c>
      <c r="B17" s="16">
        <v>202307024</v>
      </c>
      <c r="C17" s="11" t="s">
        <v>32</v>
      </c>
      <c r="D17" s="11" t="s">
        <v>17</v>
      </c>
      <c r="E17" s="16">
        <f>8200</f>
        <v>8200</v>
      </c>
      <c r="F17" s="11"/>
      <c r="G17" s="16">
        <v>1000</v>
      </c>
      <c r="H17" s="16" t="s">
        <v>316</v>
      </c>
      <c r="I17" s="11">
        <v>2000</v>
      </c>
      <c r="J17" s="11" t="s">
        <v>407</v>
      </c>
      <c r="K17" s="11">
        <v>3000</v>
      </c>
      <c r="L17" s="11" t="s">
        <v>411</v>
      </c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6">
        <f t="shared" si="1"/>
        <v>6000</v>
      </c>
      <c r="Y17" s="16">
        <f t="shared" si="0"/>
        <v>2200</v>
      </c>
    </row>
    <row r="18" spans="1:25">
      <c r="A18" s="16">
        <v>15</v>
      </c>
      <c r="B18" s="16">
        <v>202307026</v>
      </c>
      <c r="C18" s="11" t="s">
        <v>33</v>
      </c>
      <c r="D18" s="11" t="s">
        <v>34</v>
      </c>
      <c r="E18" s="16">
        <f>8200</f>
        <v>8200</v>
      </c>
      <c r="F18" s="11"/>
      <c r="G18" s="16">
        <v>4000</v>
      </c>
      <c r="H18" s="16" t="s">
        <v>314</v>
      </c>
      <c r="I18" s="11">
        <v>4200</v>
      </c>
      <c r="J18" s="11" t="s">
        <v>314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6">
        <f t="shared" si="1"/>
        <v>8200</v>
      </c>
      <c r="Y18" s="16">
        <f t="shared" si="0"/>
        <v>0</v>
      </c>
    </row>
    <row r="19" spans="1:25">
      <c r="A19" s="16">
        <v>16</v>
      </c>
      <c r="B19" s="16">
        <v>202307027</v>
      </c>
      <c r="C19" s="11" t="s">
        <v>35</v>
      </c>
      <c r="D19" s="11" t="s">
        <v>34</v>
      </c>
      <c r="E19" s="16">
        <f>8200</f>
        <v>8200</v>
      </c>
      <c r="F19" s="11"/>
      <c r="G19" s="16">
        <v>4500</v>
      </c>
      <c r="H19" s="16" t="s">
        <v>311</v>
      </c>
      <c r="I19" s="11"/>
      <c r="J19" s="11"/>
      <c r="K19" s="11">
        <v>2500</v>
      </c>
      <c r="L19" s="11" t="s">
        <v>347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6">
        <f t="shared" si="1"/>
        <v>7000</v>
      </c>
      <c r="Y19" s="16">
        <f t="shared" si="0"/>
        <v>1200</v>
      </c>
    </row>
    <row r="20" spans="1:25">
      <c r="A20" s="16">
        <v>17</v>
      </c>
      <c r="B20" s="16">
        <v>202307031</v>
      </c>
      <c r="C20" s="11" t="s">
        <v>36</v>
      </c>
      <c r="D20" s="11" t="s">
        <v>37</v>
      </c>
      <c r="E20" s="16">
        <f>8200</f>
        <v>8200</v>
      </c>
      <c r="F20" s="11"/>
      <c r="G20" s="16">
        <v>3000</v>
      </c>
      <c r="H20" s="16" t="s">
        <v>304</v>
      </c>
      <c r="I20" s="11">
        <v>1100</v>
      </c>
      <c r="J20" s="11" t="s">
        <v>316</v>
      </c>
      <c r="K20" s="11">
        <v>2100</v>
      </c>
      <c r="L20" s="11" t="s">
        <v>370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6">
        <f t="shared" si="1"/>
        <v>6200</v>
      </c>
      <c r="Y20" s="16">
        <f t="shared" si="0"/>
        <v>2000</v>
      </c>
    </row>
    <row r="21" spans="1:25">
      <c r="A21" s="16">
        <v>18</v>
      </c>
      <c r="B21" s="16">
        <v>202307032</v>
      </c>
      <c r="C21" s="11" t="s">
        <v>38</v>
      </c>
      <c r="D21" s="11" t="s">
        <v>39</v>
      </c>
      <c r="E21" s="16">
        <f>8200</f>
        <v>8200</v>
      </c>
      <c r="F21" s="11"/>
      <c r="G21" s="16"/>
      <c r="H21" s="16"/>
      <c r="I21" s="11"/>
      <c r="J21" s="11"/>
      <c r="K21" s="11">
        <v>2000</v>
      </c>
      <c r="L21" s="11" t="s">
        <v>376</v>
      </c>
      <c r="M21" s="11">
        <v>2300</v>
      </c>
      <c r="N21" s="11" t="s">
        <v>412</v>
      </c>
      <c r="O21" s="11">
        <v>500</v>
      </c>
      <c r="P21" s="11" t="s">
        <v>413</v>
      </c>
      <c r="Q21" s="11">
        <v>1000</v>
      </c>
      <c r="R21" s="11" t="s">
        <v>425</v>
      </c>
      <c r="S21" s="11"/>
      <c r="T21" s="11"/>
      <c r="U21" s="11"/>
      <c r="V21" s="11"/>
      <c r="W21" s="11"/>
      <c r="X21" s="16">
        <f t="shared" si="1"/>
        <v>5800</v>
      </c>
      <c r="Y21" s="16">
        <f t="shared" si="0"/>
        <v>2400</v>
      </c>
    </row>
    <row r="22" spans="1:25">
      <c r="A22" s="16">
        <v>19</v>
      </c>
      <c r="B22" s="16">
        <v>202307038</v>
      </c>
      <c r="C22" s="11" t="s">
        <v>41</v>
      </c>
      <c r="D22" s="11" t="s">
        <v>42</v>
      </c>
      <c r="E22" s="16">
        <f>8200</f>
        <v>8200</v>
      </c>
      <c r="F22" s="11"/>
      <c r="G22" s="16"/>
      <c r="H22" s="16"/>
      <c r="I22" s="11"/>
      <c r="J22" s="11"/>
      <c r="K22" s="11">
        <v>7000</v>
      </c>
      <c r="L22" s="11" t="s">
        <v>324</v>
      </c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6">
        <f t="shared" si="1"/>
        <v>7000</v>
      </c>
      <c r="Y22" s="16">
        <f t="shared" si="0"/>
        <v>1200</v>
      </c>
    </row>
    <row r="23" spans="1:25">
      <c r="A23" s="16">
        <v>20</v>
      </c>
      <c r="B23" s="16">
        <v>202307043</v>
      </c>
      <c r="C23" s="11" t="s">
        <v>20</v>
      </c>
      <c r="D23" s="11" t="s">
        <v>20</v>
      </c>
      <c r="E23" s="16">
        <f>8200</f>
        <v>8200</v>
      </c>
      <c r="F23" s="11"/>
      <c r="G23" s="16"/>
      <c r="H23" s="16"/>
      <c r="I23" s="11">
        <v>3950</v>
      </c>
      <c r="J23" s="11" t="s">
        <v>336</v>
      </c>
      <c r="K23" s="11"/>
      <c r="L23" s="11"/>
      <c r="M23" s="11">
        <v>2250</v>
      </c>
      <c r="N23" s="11" t="s">
        <v>424</v>
      </c>
      <c r="O23" s="11"/>
      <c r="P23" s="11"/>
      <c r="Q23" s="11"/>
      <c r="R23" s="11"/>
      <c r="S23" s="11"/>
      <c r="T23" s="11"/>
      <c r="U23" s="11"/>
      <c r="V23" s="11"/>
      <c r="W23" s="11"/>
      <c r="X23" s="16">
        <f t="shared" si="1"/>
        <v>6200</v>
      </c>
      <c r="Y23" s="16">
        <f t="shared" si="0"/>
        <v>2000</v>
      </c>
    </row>
    <row r="24" spans="1:25">
      <c r="A24" s="16">
        <v>21</v>
      </c>
      <c r="B24" s="16">
        <v>202307044</v>
      </c>
      <c r="C24" s="11" t="s">
        <v>43</v>
      </c>
      <c r="D24" s="11" t="s">
        <v>44</v>
      </c>
      <c r="E24" s="16">
        <f>8200</f>
        <v>8200</v>
      </c>
      <c r="F24" s="11"/>
      <c r="G24" s="16">
        <v>4000</v>
      </c>
      <c r="H24" s="16" t="s">
        <v>313</v>
      </c>
      <c r="I24" s="11"/>
      <c r="J24" s="11"/>
      <c r="K24" s="11">
        <v>2550</v>
      </c>
      <c r="L24" s="11" t="s">
        <v>374</v>
      </c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6">
        <f t="shared" si="1"/>
        <v>6550</v>
      </c>
      <c r="Y24" s="16">
        <f t="shared" si="0"/>
        <v>1650</v>
      </c>
    </row>
    <row r="25" spans="1:25">
      <c r="A25" s="16">
        <v>22</v>
      </c>
      <c r="B25" s="16">
        <v>202307053</v>
      </c>
      <c r="C25" s="11" t="s">
        <v>49</v>
      </c>
      <c r="D25" s="11" t="s">
        <v>50</v>
      </c>
      <c r="E25" s="16">
        <f>8200</f>
        <v>8200</v>
      </c>
      <c r="F25" s="11"/>
      <c r="G25" s="16">
        <v>4000</v>
      </c>
      <c r="H25" s="16" t="s">
        <v>317</v>
      </c>
      <c r="I25" s="11"/>
      <c r="J25" s="11"/>
      <c r="K25" s="11">
        <v>1000</v>
      </c>
      <c r="L25" s="11" t="s">
        <v>373</v>
      </c>
      <c r="M25" s="11">
        <v>1500</v>
      </c>
      <c r="N25" s="11" t="s">
        <v>413</v>
      </c>
      <c r="O25" s="11"/>
      <c r="P25" s="11"/>
      <c r="Q25" s="11"/>
      <c r="R25" s="11"/>
      <c r="S25" s="11"/>
      <c r="T25" s="11"/>
      <c r="U25" s="11"/>
      <c r="V25" s="11"/>
      <c r="W25" s="11"/>
      <c r="X25" s="16">
        <f t="shared" si="1"/>
        <v>6500</v>
      </c>
      <c r="Y25" s="16">
        <f t="shared" si="0"/>
        <v>1700</v>
      </c>
    </row>
    <row r="26" spans="1:25">
      <c r="A26" s="16">
        <v>23</v>
      </c>
      <c r="B26" s="16">
        <v>202307055</v>
      </c>
      <c r="C26" s="11" t="s">
        <v>51</v>
      </c>
      <c r="D26" s="11" t="s">
        <v>52</v>
      </c>
      <c r="E26" s="16">
        <f>8200</f>
        <v>8200</v>
      </c>
      <c r="F26" s="11"/>
      <c r="G26" s="16">
        <v>3000</v>
      </c>
      <c r="H26" s="16" t="s">
        <v>303</v>
      </c>
      <c r="I26" s="11">
        <v>1500</v>
      </c>
      <c r="J26" s="11" t="s">
        <v>320</v>
      </c>
      <c r="K26" s="11">
        <v>2000</v>
      </c>
      <c r="L26" s="11" t="s">
        <v>355</v>
      </c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6">
        <f t="shared" si="1"/>
        <v>6500</v>
      </c>
      <c r="Y26" s="16">
        <f t="shared" si="0"/>
        <v>1700</v>
      </c>
    </row>
    <row r="27" spans="1:25">
      <c r="A27" s="16">
        <v>24</v>
      </c>
      <c r="B27" s="16">
        <v>202307054</v>
      </c>
      <c r="C27" s="11" t="s">
        <v>53</v>
      </c>
      <c r="D27" s="11" t="s">
        <v>54</v>
      </c>
      <c r="E27" s="16">
        <f>8200</f>
        <v>8200</v>
      </c>
      <c r="F27" s="11"/>
      <c r="G27" s="16">
        <v>4000</v>
      </c>
      <c r="H27" s="16" t="s">
        <v>305</v>
      </c>
      <c r="I27" s="11">
        <v>200</v>
      </c>
      <c r="J27" s="11" t="s">
        <v>302</v>
      </c>
      <c r="K27" s="11">
        <v>1950</v>
      </c>
      <c r="L27" s="11" t="s">
        <v>359</v>
      </c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6">
        <f t="shared" si="1"/>
        <v>6150</v>
      </c>
      <c r="Y27" s="16">
        <f t="shared" si="0"/>
        <v>2050</v>
      </c>
    </row>
    <row r="28" spans="1:25">
      <c r="A28" s="16">
        <v>25</v>
      </c>
      <c r="B28" s="16">
        <v>202307057</v>
      </c>
      <c r="C28" s="11" t="s">
        <v>55</v>
      </c>
      <c r="D28" s="11" t="s">
        <v>56</v>
      </c>
      <c r="E28" s="16">
        <f>8200</f>
        <v>8200</v>
      </c>
      <c r="F28" s="11"/>
      <c r="G28" s="16"/>
      <c r="H28" s="16"/>
      <c r="I28" s="11">
        <v>4100</v>
      </c>
      <c r="J28" s="11" t="s">
        <v>339</v>
      </c>
      <c r="K28" s="11">
        <v>2000</v>
      </c>
      <c r="L28" s="11" t="s">
        <v>376</v>
      </c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6">
        <f t="shared" si="1"/>
        <v>6100</v>
      </c>
      <c r="Y28" s="16">
        <f t="shared" si="0"/>
        <v>2100</v>
      </c>
    </row>
    <row r="29" spans="1:25">
      <c r="A29" s="16">
        <v>26</v>
      </c>
      <c r="B29" s="16">
        <v>202307058</v>
      </c>
      <c r="C29" s="11" t="s">
        <v>57</v>
      </c>
      <c r="D29" s="11" t="s">
        <v>58</v>
      </c>
      <c r="E29" s="16">
        <f>8200</f>
        <v>8200</v>
      </c>
      <c r="F29" s="11"/>
      <c r="G29" s="16">
        <v>1800</v>
      </c>
      <c r="H29" s="16" t="s">
        <v>300</v>
      </c>
      <c r="I29" s="11">
        <v>400</v>
      </c>
      <c r="J29" s="11" t="s">
        <v>299</v>
      </c>
      <c r="K29" s="11">
        <v>1500</v>
      </c>
      <c r="L29" s="11" t="s">
        <v>317</v>
      </c>
      <c r="M29" s="11">
        <v>3000</v>
      </c>
      <c r="N29" s="11" t="s">
        <v>358</v>
      </c>
      <c r="O29" s="11"/>
      <c r="P29" s="11"/>
      <c r="Q29" s="11"/>
      <c r="R29" s="11"/>
      <c r="S29" s="11"/>
      <c r="T29" s="11"/>
      <c r="U29" s="11"/>
      <c r="V29" s="11"/>
      <c r="W29" s="11"/>
      <c r="X29" s="16">
        <f t="shared" si="1"/>
        <v>6700</v>
      </c>
      <c r="Y29" s="16">
        <f t="shared" si="0"/>
        <v>1500</v>
      </c>
    </row>
    <row r="30" spans="1:25">
      <c r="A30" s="16">
        <v>27</v>
      </c>
      <c r="B30" s="16">
        <v>202307060</v>
      </c>
      <c r="C30" s="11" t="s">
        <v>61</v>
      </c>
      <c r="D30" s="11" t="s">
        <v>62</v>
      </c>
      <c r="E30" s="16">
        <f>8200</f>
        <v>8200</v>
      </c>
      <c r="F30" s="11"/>
      <c r="G30" s="16">
        <v>1500</v>
      </c>
      <c r="H30" s="16" t="s">
        <v>316</v>
      </c>
      <c r="I30" s="11">
        <v>2600</v>
      </c>
      <c r="J30" s="11" t="s">
        <v>316</v>
      </c>
      <c r="K30" s="11">
        <v>2300</v>
      </c>
      <c r="L30" s="11" t="s">
        <v>373</v>
      </c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6">
        <f t="shared" si="1"/>
        <v>6400</v>
      </c>
      <c r="Y30" s="16">
        <f t="shared" si="0"/>
        <v>1800</v>
      </c>
    </row>
    <row r="31" spans="1:25">
      <c r="A31" s="16">
        <v>28</v>
      </c>
      <c r="B31" s="16">
        <v>202307066</v>
      </c>
      <c r="C31" s="11" t="s">
        <v>63</v>
      </c>
      <c r="D31" s="11" t="s">
        <v>64</v>
      </c>
      <c r="E31" s="16">
        <f>8200</f>
        <v>8200</v>
      </c>
      <c r="F31" s="11"/>
      <c r="G31" s="16">
        <v>4000</v>
      </c>
      <c r="H31" s="16" t="s">
        <v>331</v>
      </c>
      <c r="I31" s="11">
        <v>2000</v>
      </c>
      <c r="J31" s="11" t="s">
        <v>374</v>
      </c>
      <c r="K31" s="11">
        <v>2200</v>
      </c>
      <c r="L31" s="11" t="s">
        <v>424</v>
      </c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6">
        <f t="shared" si="1"/>
        <v>8200</v>
      </c>
      <c r="Y31" s="16">
        <f t="shared" si="0"/>
        <v>0</v>
      </c>
    </row>
    <row r="32" spans="1:25">
      <c r="A32" s="16">
        <v>29</v>
      </c>
      <c r="B32" s="16">
        <v>202307070</v>
      </c>
      <c r="C32" s="11" t="s">
        <v>66</v>
      </c>
      <c r="D32" s="11" t="s">
        <v>67</v>
      </c>
      <c r="E32" s="16">
        <f>8200</f>
        <v>8200</v>
      </c>
      <c r="F32" s="11"/>
      <c r="G32" s="16">
        <v>4600</v>
      </c>
      <c r="H32" s="16" t="s">
        <v>317</v>
      </c>
      <c r="I32" s="11">
        <v>2050</v>
      </c>
      <c r="J32" s="11" t="s">
        <v>372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6">
        <f t="shared" si="1"/>
        <v>6650</v>
      </c>
      <c r="Y32" s="16">
        <f t="shared" si="0"/>
        <v>1550</v>
      </c>
    </row>
    <row r="33" spans="1:25">
      <c r="A33" s="16">
        <v>30</v>
      </c>
      <c r="B33" s="16">
        <v>202307071</v>
      </c>
      <c r="C33" s="11" t="s">
        <v>74</v>
      </c>
      <c r="D33" s="11" t="s">
        <v>18</v>
      </c>
      <c r="E33" s="16">
        <v>0</v>
      </c>
      <c r="F33" s="11"/>
      <c r="G33" s="16"/>
      <c r="H33" s="16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6">
        <f t="shared" si="1"/>
        <v>0</v>
      </c>
      <c r="Y33" s="16">
        <f t="shared" si="0"/>
        <v>0</v>
      </c>
    </row>
    <row r="34" spans="1:25">
      <c r="A34" s="16">
        <v>31</v>
      </c>
      <c r="B34" s="16">
        <v>202307072</v>
      </c>
      <c r="C34" s="11" t="s">
        <v>68</v>
      </c>
      <c r="D34" s="11" t="s">
        <v>69</v>
      </c>
      <c r="E34" s="16">
        <f>8200</f>
        <v>8200</v>
      </c>
      <c r="F34" s="11"/>
      <c r="G34" s="16">
        <v>2000</v>
      </c>
      <c r="H34" s="16" t="s">
        <v>312</v>
      </c>
      <c r="I34" s="11">
        <v>2200</v>
      </c>
      <c r="J34" s="11" t="s">
        <v>314</v>
      </c>
      <c r="K34" s="11">
        <v>2800</v>
      </c>
      <c r="L34" s="11" t="s">
        <v>376</v>
      </c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6">
        <f t="shared" si="1"/>
        <v>7000</v>
      </c>
      <c r="Y34" s="16">
        <f t="shared" si="0"/>
        <v>1200</v>
      </c>
    </row>
    <row r="35" spans="1:25">
      <c r="A35" s="16">
        <v>32</v>
      </c>
      <c r="B35" s="16">
        <v>202307073</v>
      </c>
      <c r="C35" s="11" t="s">
        <v>70</v>
      </c>
      <c r="D35" s="11" t="s">
        <v>52</v>
      </c>
      <c r="E35" s="16">
        <f>8200</f>
        <v>8200</v>
      </c>
      <c r="F35" s="11"/>
      <c r="G35" s="16">
        <v>4500</v>
      </c>
      <c r="H35" s="16" t="s">
        <v>313</v>
      </c>
      <c r="I35" s="11"/>
      <c r="J35" s="11"/>
      <c r="K35" s="11">
        <v>3700</v>
      </c>
      <c r="L35" s="11" t="s">
        <v>355</v>
      </c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6">
        <f t="shared" si="1"/>
        <v>8200</v>
      </c>
      <c r="Y35" s="16">
        <f t="shared" si="0"/>
        <v>0</v>
      </c>
    </row>
    <row r="36" spans="1:25">
      <c r="A36" s="16">
        <v>33</v>
      </c>
      <c r="B36" s="16">
        <v>202301030</v>
      </c>
      <c r="C36" s="11" t="s">
        <v>353</v>
      </c>
      <c r="D36" s="11" t="s">
        <v>354</v>
      </c>
      <c r="E36" s="16">
        <v>8200</v>
      </c>
      <c r="F36" s="11"/>
      <c r="G36" s="16">
        <v>2000</v>
      </c>
      <c r="H36" s="16" t="s">
        <v>308</v>
      </c>
      <c r="I36" s="11">
        <v>2100</v>
      </c>
      <c r="J36" s="11" t="s">
        <v>316</v>
      </c>
      <c r="K36" s="11">
        <v>1000</v>
      </c>
      <c r="L36" s="11" t="s">
        <v>356</v>
      </c>
      <c r="M36" s="11">
        <v>2000</v>
      </c>
      <c r="N36" s="11" t="s">
        <v>424</v>
      </c>
      <c r="O36" s="11"/>
      <c r="P36" s="11"/>
      <c r="Q36" s="11"/>
      <c r="R36" s="11"/>
      <c r="S36" s="11"/>
      <c r="T36" s="11"/>
      <c r="U36" s="11"/>
      <c r="V36" s="11"/>
      <c r="W36" s="11"/>
      <c r="X36" s="16">
        <f t="shared" si="1"/>
        <v>7100</v>
      </c>
      <c r="Y36" s="16">
        <f t="shared" ref="Y36:Y67" si="2">E36-X36</f>
        <v>1100</v>
      </c>
    </row>
    <row r="37" spans="1:25">
      <c r="A37" s="16">
        <v>34</v>
      </c>
      <c r="B37" s="16">
        <v>202207006</v>
      </c>
      <c r="C37" s="11" t="s">
        <v>153</v>
      </c>
      <c r="D37" s="11" t="s">
        <v>375</v>
      </c>
      <c r="E37" s="16">
        <v>4200</v>
      </c>
      <c r="F37" s="11"/>
      <c r="G37" s="16">
        <v>2000</v>
      </c>
      <c r="H37" s="16" t="s">
        <v>326</v>
      </c>
      <c r="I37" s="11">
        <v>1500</v>
      </c>
      <c r="J37" s="11" t="s">
        <v>376</v>
      </c>
      <c r="K37" s="11"/>
      <c r="L37" s="11"/>
      <c r="M37" s="11">
        <v>700</v>
      </c>
      <c r="N37" s="11" t="s">
        <v>440</v>
      </c>
      <c r="O37" s="11"/>
      <c r="P37" s="11"/>
      <c r="Q37" s="11"/>
      <c r="R37" s="11"/>
      <c r="S37" s="11"/>
      <c r="T37" s="11"/>
      <c r="U37" s="11"/>
      <c r="V37" s="11"/>
      <c r="W37" s="11"/>
      <c r="X37" s="16">
        <f t="shared" si="1"/>
        <v>4200</v>
      </c>
      <c r="Y37" s="16">
        <f t="shared" si="2"/>
        <v>0</v>
      </c>
    </row>
    <row r="38" spans="1:25">
      <c r="A38" s="16">
        <v>35</v>
      </c>
      <c r="B38" s="16">
        <v>202301034</v>
      </c>
      <c r="C38" s="11" t="s">
        <v>131</v>
      </c>
      <c r="D38" s="11" t="s">
        <v>369</v>
      </c>
      <c r="E38" s="16">
        <v>4200</v>
      </c>
      <c r="F38" s="11"/>
      <c r="G38" s="16"/>
      <c r="H38" s="16"/>
      <c r="I38" s="11"/>
      <c r="J38" s="11"/>
      <c r="K38" s="11">
        <v>2000</v>
      </c>
      <c r="L38" s="11" t="s">
        <v>376</v>
      </c>
      <c r="M38" s="11">
        <v>2000</v>
      </c>
      <c r="N38" s="11" t="s">
        <v>413</v>
      </c>
      <c r="O38" s="11"/>
      <c r="P38" s="11"/>
      <c r="Q38" s="11"/>
      <c r="R38" s="11"/>
      <c r="S38" s="11"/>
      <c r="T38" s="11"/>
      <c r="U38" s="11"/>
      <c r="V38" s="11"/>
      <c r="W38" s="11"/>
      <c r="X38" s="16">
        <f t="shared" si="1"/>
        <v>4000</v>
      </c>
      <c r="Y38" s="16">
        <f t="shared" si="2"/>
        <v>200</v>
      </c>
    </row>
    <row r="39" spans="1:25">
      <c r="A39" s="16">
        <v>36</v>
      </c>
      <c r="B39" s="16"/>
      <c r="C39" s="11" t="s">
        <v>148</v>
      </c>
      <c r="D39" s="11" t="s">
        <v>377</v>
      </c>
      <c r="E39" s="16">
        <v>4200</v>
      </c>
      <c r="F39" s="11"/>
      <c r="G39" s="16"/>
      <c r="H39" s="16"/>
      <c r="I39" s="11"/>
      <c r="J39" s="11"/>
      <c r="K39" s="11">
        <v>2500</v>
      </c>
      <c r="L39" s="11" t="s">
        <v>408</v>
      </c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6">
        <f t="shared" si="1"/>
        <v>2500</v>
      </c>
      <c r="Y39" s="16">
        <f t="shared" si="2"/>
        <v>1700</v>
      </c>
    </row>
    <row r="40" spans="1:25">
      <c r="A40" s="16">
        <v>37</v>
      </c>
      <c r="B40" s="16"/>
      <c r="C40" s="11" t="s">
        <v>378</v>
      </c>
      <c r="D40" s="11" t="s">
        <v>52</v>
      </c>
      <c r="E40" s="16">
        <v>4200</v>
      </c>
      <c r="F40" s="11"/>
      <c r="G40" s="16"/>
      <c r="H40" s="16"/>
      <c r="I40" s="11"/>
      <c r="J40" s="11"/>
      <c r="K40" s="11">
        <v>1500</v>
      </c>
      <c r="L40" s="11" t="s">
        <v>413</v>
      </c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6">
        <f t="shared" si="1"/>
        <v>1500</v>
      </c>
      <c r="Y40" s="16">
        <f t="shared" si="2"/>
        <v>2700</v>
      </c>
    </row>
    <row r="41" spans="1:25">
      <c r="A41" s="16">
        <v>38</v>
      </c>
      <c r="B41" s="16"/>
      <c r="C41" s="11" t="s">
        <v>379</v>
      </c>
      <c r="D41" s="11" t="s">
        <v>380</v>
      </c>
      <c r="E41" s="16">
        <v>4200</v>
      </c>
      <c r="F41" s="11"/>
      <c r="G41" s="16"/>
      <c r="H41" s="16"/>
      <c r="I41" s="11"/>
      <c r="J41" s="11"/>
      <c r="K41" s="11">
        <v>2000</v>
      </c>
      <c r="L41" s="11" t="s">
        <v>424</v>
      </c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6">
        <f t="shared" si="1"/>
        <v>2000</v>
      </c>
      <c r="Y41" s="16">
        <f t="shared" si="2"/>
        <v>2200</v>
      </c>
    </row>
    <row r="42" spans="1:25">
      <c r="A42" s="16">
        <v>39</v>
      </c>
      <c r="B42" s="16"/>
      <c r="C42" s="11" t="s">
        <v>234</v>
      </c>
      <c r="D42" s="11" t="s">
        <v>381</v>
      </c>
      <c r="E42" s="16">
        <v>4200</v>
      </c>
      <c r="F42" s="11"/>
      <c r="G42" s="16"/>
      <c r="H42" s="16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6">
        <f t="shared" si="1"/>
        <v>0</v>
      </c>
      <c r="Y42" s="16">
        <f t="shared" si="2"/>
        <v>4200</v>
      </c>
    </row>
    <row r="43" spans="1:25">
      <c r="A43" s="16">
        <v>40</v>
      </c>
      <c r="B43" s="16"/>
      <c r="C43" s="11" t="s">
        <v>382</v>
      </c>
      <c r="D43" s="11" t="s">
        <v>383</v>
      </c>
      <c r="E43" s="16">
        <v>4200</v>
      </c>
      <c r="F43" s="11"/>
      <c r="G43" s="16">
        <v>1100</v>
      </c>
      <c r="H43" s="16" t="s">
        <v>391</v>
      </c>
      <c r="I43" s="11"/>
      <c r="J43" s="11"/>
      <c r="K43" s="11">
        <v>3100</v>
      </c>
      <c r="L43" s="11" t="s">
        <v>424</v>
      </c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6">
        <f t="shared" si="1"/>
        <v>4200</v>
      </c>
      <c r="Y43" s="16">
        <f t="shared" si="2"/>
        <v>0</v>
      </c>
    </row>
    <row r="44" spans="1:25">
      <c r="A44" s="16">
        <v>41</v>
      </c>
      <c r="B44" s="16"/>
      <c r="C44" s="11" t="s">
        <v>384</v>
      </c>
      <c r="D44" s="11" t="s">
        <v>385</v>
      </c>
      <c r="E44" s="16">
        <v>4200</v>
      </c>
      <c r="F44" s="11"/>
      <c r="G44" s="16"/>
      <c r="H44" s="16"/>
      <c r="I44" s="11"/>
      <c r="J44" s="11"/>
      <c r="K44" s="11">
        <v>2000</v>
      </c>
      <c r="L44" s="11" t="s">
        <v>424</v>
      </c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6">
        <f t="shared" si="1"/>
        <v>2000</v>
      </c>
      <c r="Y44" s="16">
        <f t="shared" si="2"/>
        <v>2200</v>
      </c>
    </row>
    <row r="45" spans="1:25">
      <c r="A45" s="16">
        <v>42</v>
      </c>
      <c r="B45" s="16"/>
      <c r="C45" s="11" t="s">
        <v>386</v>
      </c>
      <c r="D45" s="11" t="s">
        <v>387</v>
      </c>
      <c r="E45" s="16">
        <v>4200</v>
      </c>
      <c r="F45" s="11"/>
      <c r="G45" s="16">
        <v>3000</v>
      </c>
      <c r="H45" s="16" t="s">
        <v>408</v>
      </c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6">
        <f t="shared" si="1"/>
        <v>3000</v>
      </c>
      <c r="Y45" s="16">
        <f t="shared" si="2"/>
        <v>1200</v>
      </c>
    </row>
    <row r="46" spans="1:25">
      <c r="A46" s="16">
        <v>43</v>
      </c>
      <c r="B46" s="16">
        <v>202301026</v>
      </c>
      <c r="C46" s="11" t="s">
        <v>212</v>
      </c>
      <c r="D46" s="11" t="s">
        <v>389</v>
      </c>
      <c r="E46" s="16">
        <v>4200</v>
      </c>
      <c r="F46" s="11"/>
      <c r="G46" s="16"/>
      <c r="H46" s="16"/>
      <c r="I46" s="11"/>
      <c r="J46" s="11"/>
      <c r="K46" s="11">
        <v>4200</v>
      </c>
      <c r="L46" s="11" t="s">
        <v>372</v>
      </c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6">
        <f t="shared" si="1"/>
        <v>4200</v>
      </c>
      <c r="Y46" s="16">
        <f t="shared" si="2"/>
        <v>0</v>
      </c>
    </row>
    <row r="47" spans="1:25">
      <c r="A47" s="16">
        <v>44</v>
      </c>
      <c r="B47" s="16">
        <v>202301063</v>
      </c>
      <c r="C47" s="11" t="s">
        <v>65</v>
      </c>
      <c r="D47" s="11" t="s">
        <v>388</v>
      </c>
      <c r="E47" s="16">
        <v>4200</v>
      </c>
      <c r="F47" s="11"/>
      <c r="G47" s="16"/>
      <c r="H47" s="16"/>
      <c r="I47" s="11"/>
      <c r="J47" s="11"/>
      <c r="K47" s="11">
        <v>4200</v>
      </c>
      <c r="L47" s="11" t="s">
        <v>373</v>
      </c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6">
        <f t="shared" si="1"/>
        <v>4200</v>
      </c>
      <c r="Y47" s="16">
        <f t="shared" si="2"/>
        <v>0</v>
      </c>
    </row>
    <row r="48" spans="1:25">
      <c r="A48" s="16">
        <v>45</v>
      </c>
      <c r="B48" s="16"/>
      <c r="C48" s="11" t="s">
        <v>390</v>
      </c>
      <c r="D48" s="11" t="s">
        <v>58</v>
      </c>
      <c r="E48" s="16">
        <v>4200</v>
      </c>
      <c r="F48" s="11"/>
      <c r="G48" s="16"/>
      <c r="H48" s="16"/>
      <c r="I48" s="11"/>
      <c r="J48" s="11"/>
      <c r="K48" s="11">
        <v>2500</v>
      </c>
      <c r="L48" s="11" t="s">
        <v>424</v>
      </c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6">
        <f t="shared" si="1"/>
        <v>2500</v>
      </c>
      <c r="Y48" s="16">
        <f t="shared" si="2"/>
        <v>1700</v>
      </c>
    </row>
    <row r="49" spans="1:25">
      <c r="A49" s="16">
        <v>46</v>
      </c>
      <c r="B49" s="16">
        <v>202301039</v>
      </c>
      <c r="C49" s="11" t="s">
        <v>392</v>
      </c>
      <c r="D49" s="11" t="s">
        <v>393</v>
      </c>
      <c r="E49" s="16">
        <v>4200</v>
      </c>
      <c r="F49" s="11"/>
      <c r="G49" s="16"/>
      <c r="H49" s="16"/>
      <c r="I49" s="11"/>
      <c r="J49" s="11"/>
      <c r="K49" s="11">
        <v>2900</v>
      </c>
      <c r="L49" s="11" t="s">
        <v>376</v>
      </c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6">
        <f t="shared" si="1"/>
        <v>2900</v>
      </c>
      <c r="Y49" s="16">
        <f t="shared" si="2"/>
        <v>1300</v>
      </c>
    </row>
    <row r="50" spans="1:25">
      <c r="A50" s="16">
        <v>47</v>
      </c>
      <c r="B50" s="16">
        <v>2022070</v>
      </c>
      <c r="C50" s="11" t="s">
        <v>6</v>
      </c>
      <c r="D50" s="11" t="s">
        <v>348</v>
      </c>
      <c r="E50" s="16">
        <f>5000+1000</f>
        <v>6000</v>
      </c>
      <c r="F50" s="11"/>
      <c r="G50" s="16">
        <v>1000</v>
      </c>
      <c r="H50" s="16" t="s">
        <v>349</v>
      </c>
      <c r="I50" s="11">
        <v>2500</v>
      </c>
      <c r="J50" s="11" t="s">
        <v>421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6">
        <f>SUM(G50+I50+K50+M50)</f>
        <v>3500</v>
      </c>
      <c r="Y50" s="16">
        <f t="shared" si="2"/>
        <v>2500</v>
      </c>
    </row>
    <row r="51" spans="1:25">
      <c r="A51" s="16">
        <v>48</v>
      </c>
      <c r="B51" s="16"/>
      <c r="C51" s="11" t="s">
        <v>148</v>
      </c>
      <c r="D51" s="11" t="s">
        <v>20</v>
      </c>
      <c r="E51" s="16">
        <f t="shared" ref="E51:E61" si="3">5000+1000</f>
        <v>6000</v>
      </c>
      <c r="F51" s="11"/>
      <c r="G51" s="16">
        <v>2500</v>
      </c>
      <c r="H51" s="16" t="s">
        <v>376</v>
      </c>
      <c r="I51" s="11">
        <v>1100</v>
      </c>
      <c r="J51" s="11" t="s">
        <v>400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6">
        <f t="shared" ref="X51:X61" si="4">SUM(G51+I51+K51+M51)</f>
        <v>3600</v>
      </c>
      <c r="Y51" s="16">
        <f t="shared" si="2"/>
        <v>2400</v>
      </c>
    </row>
    <row r="52" spans="1:25">
      <c r="A52" s="16">
        <v>49</v>
      </c>
      <c r="B52" s="16"/>
      <c r="C52" s="11" t="s">
        <v>429</v>
      </c>
      <c r="D52" s="11" t="s">
        <v>430</v>
      </c>
      <c r="E52" s="16">
        <f t="shared" si="3"/>
        <v>6000</v>
      </c>
      <c r="F52" s="11"/>
      <c r="G52" s="16">
        <v>3000</v>
      </c>
      <c r="H52" s="16" t="s">
        <v>439</v>
      </c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6">
        <f t="shared" si="4"/>
        <v>3000</v>
      </c>
      <c r="Y52" s="16">
        <f t="shared" si="2"/>
        <v>3000</v>
      </c>
    </row>
    <row r="53" spans="1:25">
      <c r="A53" s="16">
        <v>50</v>
      </c>
      <c r="B53" s="16"/>
      <c r="C53" s="11" t="s">
        <v>70</v>
      </c>
      <c r="D53" s="11" t="s">
        <v>64</v>
      </c>
      <c r="E53" s="16">
        <f t="shared" si="3"/>
        <v>6000</v>
      </c>
      <c r="F53" s="11"/>
      <c r="G53" s="16">
        <v>2000</v>
      </c>
      <c r="H53" s="16" t="s">
        <v>424</v>
      </c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6">
        <f t="shared" si="4"/>
        <v>2000</v>
      </c>
      <c r="Y53" s="16">
        <f t="shared" si="2"/>
        <v>4000</v>
      </c>
    </row>
    <row r="54" spans="1:25">
      <c r="A54" s="16">
        <v>51</v>
      </c>
      <c r="B54" s="16"/>
      <c r="C54" s="11" t="s">
        <v>431</v>
      </c>
      <c r="D54" s="11" t="s">
        <v>40</v>
      </c>
      <c r="E54" s="16">
        <f t="shared" si="3"/>
        <v>6000</v>
      </c>
      <c r="F54" s="11"/>
      <c r="G54" s="16">
        <v>1000</v>
      </c>
      <c r="H54" s="16" t="s">
        <v>425</v>
      </c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6">
        <f t="shared" si="4"/>
        <v>1000</v>
      </c>
      <c r="Y54" s="16">
        <f t="shared" si="2"/>
        <v>5000</v>
      </c>
    </row>
    <row r="55" spans="1:25">
      <c r="A55" s="16">
        <v>52</v>
      </c>
      <c r="B55" s="16"/>
      <c r="C55" s="11" t="s">
        <v>181</v>
      </c>
      <c r="D55" s="11" t="s">
        <v>20</v>
      </c>
      <c r="E55" s="16">
        <f t="shared" si="3"/>
        <v>6000</v>
      </c>
      <c r="F55" s="11"/>
      <c r="G55" s="16">
        <v>1500</v>
      </c>
      <c r="H55" s="16" t="s">
        <v>425</v>
      </c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6">
        <f t="shared" si="4"/>
        <v>1500</v>
      </c>
      <c r="Y55" s="16">
        <f t="shared" si="2"/>
        <v>4500</v>
      </c>
    </row>
    <row r="56" spans="1:25">
      <c r="A56" s="16">
        <v>53</v>
      </c>
      <c r="B56" s="16"/>
      <c r="C56" s="11" t="s">
        <v>433</v>
      </c>
      <c r="D56" s="11" t="s">
        <v>225</v>
      </c>
      <c r="E56" s="16">
        <f t="shared" si="3"/>
        <v>6000</v>
      </c>
      <c r="F56" s="11"/>
      <c r="G56" s="16">
        <v>950</v>
      </c>
      <c r="H56" s="16" t="s">
        <v>437</v>
      </c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6">
        <f t="shared" si="4"/>
        <v>950</v>
      </c>
      <c r="Y56" s="16">
        <f t="shared" si="2"/>
        <v>5050</v>
      </c>
    </row>
    <row r="57" spans="1:25">
      <c r="A57" s="16">
        <v>54</v>
      </c>
      <c r="B57" s="16"/>
      <c r="C57" s="11" t="s">
        <v>434</v>
      </c>
      <c r="D57" s="11" t="s">
        <v>136</v>
      </c>
      <c r="E57" s="16">
        <f t="shared" si="3"/>
        <v>6000</v>
      </c>
      <c r="F57" s="11"/>
      <c r="G57" s="16">
        <v>3000</v>
      </c>
      <c r="H57" s="16" t="s">
        <v>437</v>
      </c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6">
        <f t="shared" si="4"/>
        <v>3000</v>
      </c>
      <c r="Y57" s="16">
        <f t="shared" si="2"/>
        <v>3000</v>
      </c>
    </row>
    <row r="58" spans="1:25">
      <c r="A58" s="16">
        <v>55</v>
      </c>
      <c r="B58" s="16"/>
      <c r="C58" s="11" t="s">
        <v>144</v>
      </c>
      <c r="D58" s="11" t="s">
        <v>78</v>
      </c>
      <c r="E58" s="16">
        <f t="shared" si="3"/>
        <v>6000</v>
      </c>
      <c r="F58" s="11"/>
      <c r="G58" s="16">
        <v>2000</v>
      </c>
      <c r="H58" s="16" t="s">
        <v>421</v>
      </c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6">
        <f t="shared" si="4"/>
        <v>2000</v>
      </c>
      <c r="Y58" s="16">
        <f t="shared" si="2"/>
        <v>4000</v>
      </c>
    </row>
    <row r="59" spans="1:25">
      <c r="A59" s="16">
        <v>56</v>
      </c>
      <c r="B59" s="16"/>
      <c r="C59" s="11" t="s">
        <v>435</v>
      </c>
      <c r="D59" s="11" t="s">
        <v>40</v>
      </c>
      <c r="E59" s="16">
        <f t="shared" si="3"/>
        <v>6000</v>
      </c>
      <c r="F59" s="11"/>
      <c r="G59" s="16">
        <v>1100</v>
      </c>
      <c r="H59" s="16" t="s">
        <v>438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6">
        <f t="shared" si="4"/>
        <v>1100</v>
      </c>
      <c r="Y59" s="16">
        <f t="shared" si="2"/>
        <v>4900</v>
      </c>
    </row>
    <row r="60" spans="1:25">
      <c r="A60" s="16">
        <v>57</v>
      </c>
      <c r="B60" s="16"/>
      <c r="C60" s="11" t="s">
        <v>235</v>
      </c>
      <c r="D60" s="11" t="s">
        <v>436</v>
      </c>
      <c r="E60" s="16">
        <f t="shared" si="3"/>
        <v>6000</v>
      </c>
      <c r="F60" s="11"/>
      <c r="G60" s="16">
        <v>1500</v>
      </c>
      <c r="H60" s="16" t="s">
        <v>424</v>
      </c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6">
        <f t="shared" si="4"/>
        <v>1500</v>
      </c>
      <c r="Y60" s="16">
        <f t="shared" si="2"/>
        <v>4500</v>
      </c>
    </row>
    <row r="61" spans="1:25">
      <c r="A61" s="16">
        <v>58</v>
      </c>
      <c r="B61" s="16"/>
      <c r="C61" s="11" t="s">
        <v>432</v>
      </c>
      <c r="D61" s="11" t="s">
        <v>151</v>
      </c>
      <c r="E61" s="16">
        <f t="shared" si="3"/>
        <v>6000</v>
      </c>
      <c r="F61" s="11"/>
      <c r="G61" s="16"/>
      <c r="H61" s="16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6">
        <f t="shared" si="4"/>
        <v>0</v>
      </c>
      <c r="Y61" s="16">
        <f t="shared" si="2"/>
        <v>6000</v>
      </c>
    </row>
  </sheetData>
  <pageMargins left="0.7" right="0.7" top="0.75" bottom="0.75" header="0.3" footer="0.3"/>
  <pageSetup paperSize="9" orientation="portrait" verticalDpi="0" r:id="rId1"/>
  <ignoredErrors>
    <ignoredError sqref="X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9"/>
  <sheetViews>
    <sheetView topLeftCell="A25" workbookViewId="0">
      <selection activeCell="M11" sqref="M11"/>
    </sheetView>
  </sheetViews>
  <sheetFormatPr defaultRowHeight="15.75"/>
  <cols>
    <col min="1" max="1" width="5.125" style="3" customWidth="1"/>
    <col min="2" max="2" width="12.25" style="1" customWidth="1"/>
    <col min="3" max="3" width="15" style="1" customWidth="1"/>
    <col min="4" max="4" width="15.375" style="1" customWidth="1"/>
    <col min="5" max="5" width="10.375" style="3" customWidth="1"/>
    <col min="6" max="6" width="8.5" style="1" customWidth="1"/>
    <col min="7" max="7" width="10.875" style="1" customWidth="1"/>
    <col min="8" max="8" width="9.5" style="1" customWidth="1"/>
    <col min="9" max="9" width="9.625" style="1" customWidth="1"/>
    <col min="10" max="10" width="11.125" style="1" customWidth="1"/>
    <col min="11" max="11" width="12.375" style="1" customWidth="1"/>
    <col min="12" max="12" width="8.25" style="1" customWidth="1"/>
    <col min="13" max="13" width="10.75" style="1" customWidth="1"/>
    <col min="14" max="14" width="9.25" style="1" bestFit="1" customWidth="1"/>
    <col min="15" max="15" width="9.75" style="1" customWidth="1"/>
    <col min="16" max="19" width="9" style="1"/>
    <col min="20" max="20" width="14.875" style="3" bestFit="1" customWidth="1"/>
    <col min="21" max="21" width="15" style="3" bestFit="1" customWidth="1"/>
    <col min="22" max="16384" width="9" style="1"/>
  </cols>
  <sheetData>
    <row r="1" spans="1:21">
      <c r="B1" s="2"/>
      <c r="C1" s="17" t="s">
        <v>0</v>
      </c>
    </row>
    <row r="2" spans="1:21">
      <c r="C2" s="18" t="s">
        <v>75</v>
      </c>
      <c r="D2" s="19"/>
      <c r="F2" s="3"/>
      <c r="I2" s="2"/>
      <c r="J2" s="2" t="s">
        <v>76</v>
      </c>
      <c r="K2" s="2"/>
    </row>
    <row r="3" spans="1:21">
      <c r="B3" s="2" t="s">
        <v>2</v>
      </c>
      <c r="C3" s="2" t="s">
        <v>3</v>
      </c>
      <c r="D3" s="2" t="s">
        <v>4</v>
      </c>
      <c r="E3" s="5" t="s">
        <v>5</v>
      </c>
      <c r="F3" s="2" t="s">
        <v>360</v>
      </c>
      <c r="G3" s="2"/>
      <c r="H3" s="2" t="s">
        <v>361</v>
      </c>
      <c r="J3" s="2" t="s">
        <v>362</v>
      </c>
      <c r="L3" s="2" t="s">
        <v>363</v>
      </c>
      <c r="N3" s="2" t="s">
        <v>364</v>
      </c>
      <c r="P3" s="2" t="s">
        <v>366</v>
      </c>
      <c r="T3" s="5" t="s">
        <v>260</v>
      </c>
      <c r="U3" s="5" t="s">
        <v>261</v>
      </c>
    </row>
    <row r="4" spans="1:21">
      <c r="A4" s="21">
        <v>1</v>
      </c>
      <c r="B4" s="22">
        <v>202401001</v>
      </c>
      <c r="C4" s="22" t="s">
        <v>77</v>
      </c>
      <c r="D4" s="22" t="s">
        <v>78</v>
      </c>
      <c r="E4" s="21">
        <f>8200</f>
        <v>8200</v>
      </c>
      <c r="F4" s="22">
        <v>4200</v>
      </c>
      <c r="G4" s="22" t="s">
        <v>257</v>
      </c>
      <c r="H4" s="22">
        <v>2000</v>
      </c>
      <c r="I4" s="22" t="s">
        <v>422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1">
        <f t="shared" ref="T4:T27" si="0">F4+H4+J4+L4+N4+P4+R4</f>
        <v>6200</v>
      </c>
      <c r="U4" s="21">
        <f t="shared" ref="U4:U27" si="1">E4-T4</f>
        <v>2000</v>
      </c>
    </row>
    <row r="5" spans="1:21">
      <c r="A5" s="21">
        <v>2</v>
      </c>
      <c r="B5" s="22">
        <v>202401002</v>
      </c>
      <c r="C5" s="22" t="s">
        <v>79</v>
      </c>
      <c r="D5" s="22" t="s">
        <v>80</v>
      </c>
      <c r="E5" s="21">
        <f>8200</f>
        <v>8200</v>
      </c>
      <c r="F5" s="22">
        <v>1000</v>
      </c>
      <c r="G5" s="22" t="s">
        <v>312</v>
      </c>
      <c r="H5" s="22">
        <v>1000</v>
      </c>
      <c r="I5" s="22" t="s">
        <v>313</v>
      </c>
      <c r="J5" s="22">
        <v>2000</v>
      </c>
      <c r="K5" s="22" t="s">
        <v>411</v>
      </c>
      <c r="L5" s="22"/>
      <c r="M5" s="22"/>
      <c r="N5" s="22"/>
      <c r="O5" s="22"/>
      <c r="P5" s="22"/>
      <c r="Q5" s="22"/>
      <c r="R5" s="22"/>
      <c r="S5" s="22"/>
      <c r="T5" s="21">
        <f t="shared" si="0"/>
        <v>4000</v>
      </c>
      <c r="U5" s="21">
        <f t="shared" si="1"/>
        <v>4200</v>
      </c>
    </row>
    <row r="6" spans="1:21">
      <c r="A6" s="21">
        <v>3</v>
      </c>
      <c r="B6" s="22">
        <v>202401004</v>
      </c>
      <c r="C6" s="22" t="s">
        <v>81</v>
      </c>
      <c r="D6" s="22" t="s">
        <v>23</v>
      </c>
      <c r="E6" s="21">
        <f>8200</f>
        <v>8200</v>
      </c>
      <c r="F6" s="22">
        <v>5000</v>
      </c>
      <c r="G6" s="22" t="s">
        <v>310</v>
      </c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1">
        <f t="shared" si="0"/>
        <v>5000</v>
      </c>
      <c r="U6" s="21">
        <f t="shared" si="1"/>
        <v>3200</v>
      </c>
    </row>
    <row r="7" spans="1:21">
      <c r="A7" s="21">
        <v>4</v>
      </c>
      <c r="B7" s="22">
        <v>202401005</v>
      </c>
      <c r="C7" s="22" t="s">
        <v>82</v>
      </c>
      <c r="D7" s="22" t="s">
        <v>83</v>
      </c>
      <c r="E7" s="21">
        <f>8200</f>
        <v>8200</v>
      </c>
      <c r="F7" s="22">
        <v>4200</v>
      </c>
      <c r="G7" s="22" t="s">
        <v>310</v>
      </c>
      <c r="H7" s="22">
        <v>2000</v>
      </c>
      <c r="I7" s="22" t="s">
        <v>414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1">
        <f t="shared" si="0"/>
        <v>6200</v>
      </c>
      <c r="U7" s="21">
        <f t="shared" si="1"/>
        <v>2000</v>
      </c>
    </row>
    <row r="8" spans="1:21">
      <c r="A8" s="21">
        <v>5</v>
      </c>
      <c r="B8" s="22">
        <v>202401006</v>
      </c>
      <c r="C8" s="22" t="s">
        <v>84</v>
      </c>
      <c r="D8" s="22" t="s">
        <v>85</v>
      </c>
      <c r="E8" s="21">
        <f>8200</f>
        <v>8200</v>
      </c>
      <c r="F8" s="22"/>
      <c r="G8" s="22"/>
      <c r="H8" s="22">
        <v>2000</v>
      </c>
      <c r="I8" s="22" t="s">
        <v>320</v>
      </c>
      <c r="J8" s="22">
        <v>3000</v>
      </c>
      <c r="K8" s="22" t="s">
        <v>352</v>
      </c>
      <c r="L8" s="22"/>
      <c r="M8" s="22"/>
      <c r="N8" s="22"/>
      <c r="O8" s="22"/>
      <c r="P8" s="22"/>
      <c r="Q8" s="22"/>
      <c r="R8" s="22"/>
      <c r="S8" s="22"/>
      <c r="T8" s="21">
        <f t="shared" si="0"/>
        <v>5000</v>
      </c>
      <c r="U8" s="21">
        <f t="shared" si="1"/>
        <v>3200</v>
      </c>
    </row>
    <row r="9" spans="1:21">
      <c r="A9" s="21">
        <v>6</v>
      </c>
      <c r="B9" s="22">
        <v>202401007</v>
      </c>
      <c r="C9" s="22" t="s">
        <v>86</v>
      </c>
      <c r="D9" s="22" t="s">
        <v>20</v>
      </c>
      <c r="E9" s="21">
        <f>8200</f>
        <v>8200</v>
      </c>
      <c r="F9" s="22"/>
      <c r="G9" s="22"/>
      <c r="H9" s="22">
        <v>4100</v>
      </c>
      <c r="I9" s="22" t="s">
        <v>324</v>
      </c>
      <c r="J9" s="22">
        <v>2000</v>
      </c>
      <c r="K9" s="22" t="s">
        <v>421</v>
      </c>
      <c r="L9" s="22"/>
      <c r="M9" s="22"/>
      <c r="N9" s="22"/>
      <c r="O9" s="22"/>
      <c r="P9" s="22"/>
      <c r="Q9" s="22"/>
      <c r="R9" s="22"/>
      <c r="S9" s="22"/>
      <c r="T9" s="21">
        <f t="shared" si="0"/>
        <v>6100</v>
      </c>
      <c r="U9" s="21">
        <f t="shared" si="1"/>
        <v>2100</v>
      </c>
    </row>
    <row r="10" spans="1:21">
      <c r="A10" s="21">
        <v>7</v>
      </c>
      <c r="B10" s="22">
        <v>202401009</v>
      </c>
      <c r="C10" s="22" t="s">
        <v>70</v>
      </c>
      <c r="D10" s="22" t="s">
        <v>89</v>
      </c>
      <c r="E10" s="21">
        <f>8200</f>
        <v>8200</v>
      </c>
      <c r="F10" s="23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1">
        <f t="shared" si="0"/>
        <v>0</v>
      </c>
      <c r="U10" s="21">
        <f t="shared" si="1"/>
        <v>8200</v>
      </c>
    </row>
    <row r="11" spans="1:21">
      <c r="A11" s="21">
        <v>8</v>
      </c>
      <c r="B11" s="22">
        <v>202401011</v>
      </c>
      <c r="C11" s="22" t="s">
        <v>90</v>
      </c>
      <c r="D11" s="22" t="s">
        <v>91</v>
      </c>
      <c r="E11" s="21">
        <f>8200</f>
        <v>8200</v>
      </c>
      <c r="F11" s="22">
        <v>6000</v>
      </c>
      <c r="G11" s="22" t="s">
        <v>139</v>
      </c>
      <c r="H11" s="22">
        <v>1000</v>
      </c>
      <c r="I11" s="22" t="s">
        <v>438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1">
        <f t="shared" si="0"/>
        <v>7000</v>
      </c>
      <c r="U11" s="21">
        <f t="shared" si="1"/>
        <v>1200</v>
      </c>
    </row>
    <row r="12" spans="1:21">
      <c r="A12" s="21">
        <v>9</v>
      </c>
      <c r="B12" s="22">
        <v>202401012</v>
      </c>
      <c r="C12" s="22" t="s">
        <v>92</v>
      </c>
      <c r="D12" s="22" t="s">
        <v>93</v>
      </c>
      <c r="E12" s="21">
        <f>8200</f>
        <v>8200</v>
      </c>
      <c r="F12" s="22">
        <v>5000</v>
      </c>
      <c r="G12" s="22" t="s">
        <v>299</v>
      </c>
      <c r="H12" s="22">
        <v>1000</v>
      </c>
      <c r="I12" s="22" t="s">
        <v>426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1">
        <f t="shared" si="0"/>
        <v>6000</v>
      </c>
      <c r="U12" s="21">
        <f t="shared" si="1"/>
        <v>2200</v>
      </c>
    </row>
    <row r="13" spans="1:21">
      <c r="A13" s="21">
        <v>10</v>
      </c>
      <c r="B13" s="22">
        <v>202401015</v>
      </c>
      <c r="C13" s="22" t="s">
        <v>94</v>
      </c>
      <c r="D13" s="22" t="s">
        <v>95</v>
      </c>
      <c r="E13" s="21">
        <f>8200</f>
        <v>8200</v>
      </c>
      <c r="F13" s="22">
        <v>3000</v>
      </c>
      <c r="G13" s="22" t="s">
        <v>367</v>
      </c>
      <c r="H13" s="22">
        <v>1200</v>
      </c>
      <c r="I13" s="22" t="s">
        <v>312</v>
      </c>
      <c r="J13" s="22">
        <v>2500</v>
      </c>
      <c r="K13" s="22" t="s">
        <v>349</v>
      </c>
      <c r="L13" s="22"/>
      <c r="M13" s="22"/>
      <c r="N13" s="22"/>
      <c r="O13" s="22"/>
      <c r="P13" s="22"/>
      <c r="Q13" s="22"/>
      <c r="R13" s="22"/>
      <c r="S13" s="22"/>
      <c r="T13" s="21">
        <f t="shared" si="0"/>
        <v>6700</v>
      </c>
      <c r="U13" s="21">
        <f t="shared" si="1"/>
        <v>1500</v>
      </c>
    </row>
    <row r="14" spans="1:21">
      <c r="A14" s="21">
        <v>11</v>
      </c>
      <c r="B14" s="22">
        <v>202401016</v>
      </c>
      <c r="C14" s="22" t="s">
        <v>96</v>
      </c>
      <c r="D14" s="22" t="s">
        <v>97</v>
      </c>
      <c r="E14" s="21">
        <f>8200</f>
        <v>8200</v>
      </c>
      <c r="F14" s="22">
        <v>2000</v>
      </c>
      <c r="G14" s="22" t="s">
        <v>305</v>
      </c>
      <c r="H14" s="22">
        <v>1900</v>
      </c>
      <c r="I14" s="22" t="s">
        <v>305</v>
      </c>
      <c r="J14" s="22">
        <v>100</v>
      </c>
      <c r="K14" s="22" t="s">
        <v>310</v>
      </c>
      <c r="L14" s="22">
        <v>900</v>
      </c>
      <c r="M14" s="22" t="s">
        <v>372</v>
      </c>
      <c r="N14" s="22">
        <v>1000</v>
      </c>
      <c r="O14" s="22" t="s">
        <v>416</v>
      </c>
      <c r="P14" s="22"/>
      <c r="Q14" s="22"/>
      <c r="R14" s="22"/>
      <c r="S14" s="22"/>
      <c r="T14" s="21">
        <f t="shared" si="0"/>
        <v>5900</v>
      </c>
      <c r="U14" s="21">
        <f t="shared" si="1"/>
        <v>2300</v>
      </c>
    </row>
    <row r="15" spans="1:21">
      <c r="A15" s="21">
        <v>12</v>
      </c>
      <c r="B15" s="22">
        <v>202401017</v>
      </c>
      <c r="C15" s="22" t="s">
        <v>98</v>
      </c>
      <c r="D15" s="22" t="s">
        <v>99</v>
      </c>
      <c r="E15" s="21">
        <f>8200</f>
        <v>8200</v>
      </c>
      <c r="F15" s="22">
        <v>3000</v>
      </c>
      <c r="G15" s="22" t="s">
        <v>298</v>
      </c>
      <c r="H15" s="22">
        <v>2000</v>
      </c>
      <c r="I15" s="22" t="s">
        <v>309</v>
      </c>
      <c r="J15" s="22">
        <v>1900</v>
      </c>
      <c r="K15" s="22" t="s">
        <v>419</v>
      </c>
      <c r="L15" s="22"/>
      <c r="M15" s="22"/>
      <c r="N15" s="22"/>
      <c r="O15" s="22"/>
      <c r="P15" s="22"/>
      <c r="Q15" s="22"/>
      <c r="R15" s="22"/>
      <c r="S15" s="22"/>
      <c r="T15" s="21">
        <f t="shared" si="0"/>
        <v>6900</v>
      </c>
      <c r="U15" s="21">
        <f t="shared" si="1"/>
        <v>1300</v>
      </c>
    </row>
    <row r="16" spans="1:21">
      <c r="A16" s="21">
        <v>13</v>
      </c>
      <c r="B16" s="22">
        <v>202401018</v>
      </c>
      <c r="C16" s="22" t="s">
        <v>100</v>
      </c>
      <c r="D16" s="22" t="s">
        <v>101</v>
      </c>
      <c r="E16" s="21">
        <f>8200</f>
        <v>8200</v>
      </c>
      <c r="F16" s="24">
        <v>3100</v>
      </c>
      <c r="G16" s="22" t="s">
        <v>299</v>
      </c>
      <c r="H16" s="22">
        <v>1000</v>
      </c>
      <c r="I16" s="22" t="s">
        <v>424</v>
      </c>
      <c r="J16" s="22">
        <v>2100</v>
      </c>
      <c r="K16" s="22" t="s">
        <v>442</v>
      </c>
      <c r="L16" s="22"/>
      <c r="M16" s="22"/>
      <c r="N16" s="22"/>
      <c r="O16" s="22"/>
      <c r="P16" s="22"/>
      <c r="Q16" s="22"/>
      <c r="R16" s="22"/>
      <c r="S16" s="22"/>
      <c r="T16" s="21">
        <f t="shared" si="0"/>
        <v>6200</v>
      </c>
      <c r="U16" s="21">
        <f t="shared" si="1"/>
        <v>2000</v>
      </c>
    </row>
    <row r="17" spans="1:21">
      <c r="A17" s="21">
        <v>14</v>
      </c>
      <c r="B17" s="22">
        <v>202401019</v>
      </c>
      <c r="C17" s="22" t="s">
        <v>102</v>
      </c>
      <c r="D17" s="22" t="s">
        <v>103</v>
      </c>
      <c r="E17" s="21">
        <f>8200</f>
        <v>8200</v>
      </c>
      <c r="F17" s="24">
        <v>3400</v>
      </c>
      <c r="G17" s="22" t="s">
        <v>302</v>
      </c>
      <c r="H17" s="22">
        <v>500</v>
      </c>
      <c r="I17" s="22" t="s">
        <v>309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1">
        <f t="shared" si="0"/>
        <v>3900</v>
      </c>
      <c r="U17" s="21">
        <f t="shared" si="1"/>
        <v>4300</v>
      </c>
    </row>
    <row r="18" spans="1:21">
      <c r="A18" s="21">
        <v>15</v>
      </c>
      <c r="B18" s="22">
        <v>202401022</v>
      </c>
      <c r="C18" s="22" t="s">
        <v>87</v>
      </c>
      <c r="D18" s="22" t="s">
        <v>67</v>
      </c>
      <c r="E18" s="21">
        <v>8200</v>
      </c>
      <c r="F18" s="24">
        <v>4100</v>
      </c>
      <c r="G18" s="22" t="s">
        <v>309</v>
      </c>
      <c r="H18" s="22"/>
      <c r="I18" s="22"/>
      <c r="J18" s="22">
        <v>1500</v>
      </c>
      <c r="K18" s="22" t="s">
        <v>441</v>
      </c>
      <c r="L18" s="22"/>
      <c r="M18" s="22"/>
      <c r="N18" s="22"/>
      <c r="O18" s="22"/>
      <c r="P18" s="22"/>
      <c r="Q18" s="22"/>
      <c r="R18" s="22"/>
      <c r="S18" s="22"/>
      <c r="T18" s="21">
        <f t="shared" si="0"/>
        <v>5600</v>
      </c>
      <c r="U18" s="21">
        <f t="shared" si="1"/>
        <v>2600</v>
      </c>
    </row>
    <row r="19" spans="1:21">
      <c r="A19" s="21">
        <v>16</v>
      </c>
      <c r="B19" s="22">
        <v>202401023</v>
      </c>
      <c r="C19" s="22" t="s">
        <v>104</v>
      </c>
      <c r="D19" s="22" t="s">
        <v>105</v>
      </c>
      <c r="E19" s="21">
        <f>8200</f>
        <v>8200</v>
      </c>
      <c r="F19" s="24">
        <v>3550</v>
      </c>
      <c r="G19" s="22" t="s">
        <v>307</v>
      </c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1">
        <f t="shared" si="0"/>
        <v>3550</v>
      </c>
      <c r="U19" s="21">
        <f t="shared" si="1"/>
        <v>4650</v>
      </c>
    </row>
    <row r="20" spans="1:21">
      <c r="A20" s="21">
        <v>17</v>
      </c>
      <c r="B20" s="22">
        <v>202401027</v>
      </c>
      <c r="C20" s="22" t="s">
        <v>106</v>
      </c>
      <c r="D20" s="22" t="s">
        <v>78</v>
      </c>
      <c r="E20" s="21">
        <f>8200</f>
        <v>8200</v>
      </c>
      <c r="F20" s="24">
        <v>1500</v>
      </c>
      <c r="G20" s="22" t="s">
        <v>408</v>
      </c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1">
        <f t="shared" si="0"/>
        <v>1500</v>
      </c>
      <c r="U20" s="21">
        <f t="shared" si="1"/>
        <v>6700</v>
      </c>
    </row>
    <row r="21" spans="1:21">
      <c r="A21" s="21">
        <v>18</v>
      </c>
      <c r="B21" s="22">
        <v>202401030</v>
      </c>
      <c r="C21" s="22" t="s">
        <v>109</v>
      </c>
      <c r="D21" s="22" t="s">
        <v>110</v>
      </c>
      <c r="E21" s="21">
        <f>8200</f>
        <v>8200</v>
      </c>
      <c r="F21" s="24">
        <v>4000</v>
      </c>
      <c r="G21" s="22" t="s">
        <v>299</v>
      </c>
      <c r="H21" s="22">
        <v>100</v>
      </c>
      <c r="I21" s="22" t="s">
        <v>305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1">
        <f t="shared" si="0"/>
        <v>4100</v>
      </c>
      <c r="U21" s="21">
        <f t="shared" si="1"/>
        <v>4100</v>
      </c>
    </row>
    <row r="22" spans="1:21">
      <c r="A22" s="21">
        <v>19</v>
      </c>
      <c r="B22" s="22">
        <v>202401031</v>
      </c>
      <c r="C22" s="22" t="s">
        <v>22</v>
      </c>
      <c r="D22" s="22" t="s">
        <v>111</v>
      </c>
      <c r="E22" s="21">
        <f>8200</f>
        <v>8200</v>
      </c>
      <c r="F22" s="24">
        <v>1500</v>
      </c>
      <c r="G22" s="22" t="s">
        <v>313</v>
      </c>
      <c r="H22" s="22">
        <v>2500</v>
      </c>
      <c r="I22" s="22" t="s">
        <v>320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1">
        <f t="shared" si="0"/>
        <v>4000</v>
      </c>
      <c r="U22" s="21">
        <f t="shared" si="1"/>
        <v>4200</v>
      </c>
    </row>
    <row r="23" spans="1:21">
      <c r="A23" s="21">
        <v>20</v>
      </c>
      <c r="B23" s="22">
        <v>202401034</v>
      </c>
      <c r="C23" s="22" t="s">
        <v>79</v>
      </c>
      <c r="D23" s="22" t="s">
        <v>112</v>
      </c>
      <c r="E23" s="21">
        <f>8200</f>
        <v>8200</v>
      </c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1">
        <f t="shared" si="0"/>
        <v>0</v>
      </c>
      <c r="U23" s="21">
        <f t="shared" si="1"/>
        <v>8200</v>
      </c>
    </row>
    <row r="24" spans="1:21">
      <c r="A24" s="21">
        <v>21</v>
      </c>
      <c r="B24" s="22">
        <v>202401038</v>
      </c>
      <c r="C24" s="22" t="s">
        <v>113</v>
      </c>
      <c r="D24" s="22" t="s">
        <v>114</v>
      </c>
      <c r="E24" s="21">
        <f>8200</f>
        <v>8200</v>
      </c>
      <c r="F24" s="24">
        <v>4200</v>
      </c>
      <c r="G24" s="22" t="s">
        <v>257</v>
      </c>
      <c r="H24" s="22">
        <v>2000</v>
      </c>
      <c r="I24" s="22" t="s">
        <v>422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1">
        <f t="shared" si="0"/>
        <v>6200</v>
      </c>
      <c r="U24" s="21">
        <f t="shared" si="1"/>
        <v>2000</v>
      </c>
    </row>
    <row r="25" spans="1:21">
      <c r="A25" s="21">
        <v>22</v>
      </c>
      <c r="B25" s="22">
        <v>202401040</v>
      </c>
      <c r="C25" s="22" t="s">
        <v>17</v>
      </c>
      <c r="D25" s="22" t="s">
        <v>115</v>
      </c>
      <c r="E25" s="21">
        <f>8200</f>
        <v>8200</v>
      </c>
      <c r="F25" s="23"/>
      <c r="G25" s="25">
        <v>3680</v>
      </c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1">
        <f>H25+J25+L25+N25+P25+R25</f>
        <v>0</v>
      </c>
      <c r="U25" s="21">
        <f t="shared" si="1"/>
        <v>8200</v>
      </c>
    </row>
    <row r="26" spans="1:21">
      <c r="A26" s="21">
        <v>23</v>
      </c>
      <c r="B26" s="22">
        <v>202401042</v>
      </c>
      <c r="C26" s="22" t="s">
        <v>116</v>
      </c>
      <c r="D26" s="22" t="s">
        <v>117</v>
      </c>
      <c r="E26" s="21">
        <f>8200</f>
        <v>8200</v>
      </c>
      <c r="F26" s="22"/>
      <c r="G26" s="22"/>
      <c r="H26" s="22">
        <v>7200</v>
      </c>
      <c r="I26" s="22" t="s">
        <v>437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1">
        <f t="shared" si="0"/>
        <v>7200</v>
      </c>
      <c r="U26" s="21">
        <f t="shared" si="1"/>
        <v>1000</v>
      </c>
    </row>
    <row r="27" spans="1:21">
      <c r="A27" s="21">
        <v>24</v>
      </c>
      <c r="B27" s="22">
        <v>202401043</v>
      </c>
      <c r="C27" s="22" t="s">
        <v>118</v>
      </c>
      <c r="D27" s="22" t="s">
        <v>119</v>
      </c>
      <c r="E27" s="21">
        <f>8200</f>
        <v>8200</v>
      </c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1">
        <f t="shared" si="0"/>
        <v>0</v>
      </c>
      <c r="U27" s="21">
        <f t="shared" si="1"/>
        <v>8200</v>
      </c>
    </row>
    <row r="28" spans="1:21">
      <c r="A28" s="21">
        <v>25</v>
      </c>
      <c r="B28" s="22">
        <v>202401045</v>
      </c>
      <c r="C28" s="22" t="s">
        <v>121</v>
      </c>
      <c r="D28" s="22" t="s">
        <v>122</v>
      </c>
      <c r="E28" s="21">
        <f>8200</f>
        <v>8200</v>
      </c>
      <c r="F28" s="22"/>
      <c r="G28" s="22"/>
      <c r="H28" s="22">
        <v>2000</v>
      </c>
      <c r="I28" s="22" t="s">
        <v>333</v>
      </c>
      <c r="J28" s="22">
        <v>2000</v>
      </c>
      <c r="K28" s="22" t="s">
        <v>425</v>
      </c>
      <c r="L28" s="22"/>
      <c r="M28" s="22"/>
      <c r="N28" s="22"/>
      <c r="O28" s="22"/>
      <c r="P28" s="22"/>
      <c r="Q28" s="22"/>
      <c r="R28" s="22"/>
      <c r="S28" s="22"/>
      <c r="T28" s="21">
        <f t="shared" ref="T28:T39" si="2">F28+H28+J28+L28+N28+P28+R28</f>
        <v>4000</v>
      </c>
      <c r="U28" s="21">
        <f t="shared" ref="U28:U39" si="3">E28-T28</f>
        <v>4200</v>
      </c>
    </row>
    <row r="29" spans="1:21">
      <c r="A29" s="21">
        <v>26</v>
      </c>
      <c r="B29" s="22">
        <v>202401047</v>
      </c>
      <c r="C29" s="22" t="s">
        <v>123</v>
      </c>
      <c r="D29" s="22" t="s">
        <v>46</v>
      </c>
      <c r="E29" s="21">
        <f>8200</f>
        <v>8200</v>
      </c>
      <c r="F29" s="22">
        <v>4100</v>
      </c>
      <c r="G29" s="22" t="s">
        <v>313</v>
      </c>
      <c r="H29" s="22">
        <v>1900</v>
      </c>
      <c r="I29" s="22" t="s">
        <v>413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1">
        <f t="shared" si="2"/>
        <v>6000</v>
      </c>
      <c r="U29" s="21">
        <f t="shared" si="3"/>
        <v>2200</v>
      </c>
    </row>
    <row r="30" spans="1:21">
      <c r="A30" s="21">
        <v>27</v>
      </c>
      <c r="B30" s="22">
        <v>202401049</v>
      </c>
      <c r="C30" s="22" t="s">
        <v>124</v>
      </c>
      <c r="D30" s="22" t="s">
        <v>64</v>
      </c>
      <c r="E30" s="21">
        <f>8200</f>
        <v>8200</v>
      </c>
      <c r="F30" s="22"/>
      <c r="G30" s="22"/>
      <c r="H30" s="22">
        <v>2000</v>
      </c>
      <c r="I30" s="22" t="s">
        <v>313</v>
      </c>
      <c r="J30" s="22">
        <v>2200</v>
      </c>
      <c r="K30" s="22" t="s">
        <v>313</v>
      </c>
      <c r="L30" s="22">
        <v>400</v>
      </c>
      <c r="M30" s="22" t="s">
        <v>426</v>
      </c>
      <c r="N30" s="22"/>
      <c r="O30" s="22"/>
      <c r="P30" s="22"/>
      <c r="Q30" s="22"/>
      <c r="R30" s="22"/>
      <c r="S30" s="22"/>
      <c r="T30" s="21">
        <f t="shared" si="2"/>
        <v>4600</v>
      </c>
      <c r="U30" s="21">
        <f t="shared" si="3"/>
        <v>3600</v>
      </c>
    </row>
    <row r="31" spans="1:21">
      <c r="A31" s="21">
        <v>28</v>
      </c>
      <c r="B31" s="22">
        <v>202401051</v>
      </c>
      <c r="C31" s="22" t="s">
        <v>22</v>
      </c>
      <c r="D31" s="22" t="s">
        <v>125</v>
      </c>
      <c r="E31" s="21">
        <f>8200</f>
        <v>8200</v>
      </c>
      <c r="F31" s="22">
        <v>1000</v>
      </c>
      <c r="G31" s="22" t="s">
        <v>313</v>
      </c>
      <c r="H31" s="22">
        <v>6400</v>
      </c>
      <c r="I31" s="22" t="s">
        <v>334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1">
        <f t="shared" si="2"/>
        <v>7400</v>
      </c>
      <c r="U31" s="21">
        <f t="shared" si="3"/>
        <v>800</v>
      </c>
    </row>
    <row r="32" spans="1:21">
      <c r="A32" s="21">
        <v>29</v>
      </c>
      <c r="B32" s="22">
        <v>202401052</v>
      </c>
      <c r="C32" s="22" t="s">
        <v>66</v>
      </c>
      <c r="D32" s="22" t="s">
        <v>126</v>
      </c>
      <c r="E32" s="21">
        <f>8200</f>
        <v>8200</v>
      </c>
      <c r="F32" s="24">
        <v>700</v>
      </c>
      <c r="G32" s="22" t="s">
        <v>315</v>
      </c>
      <c r="H32" s="22">
        <v>1000</v>
      </c>
      <c r="I32" s="22" t="s">
        <v>335</v>
      </c>
      <c r="J32" s="22">
        <v>1000</v>
      </c>
      <c r="K32" s="22" t="s">
        <v>344</v>
      </c>
      <c r="L32" s="22"/>
      <c r="M32" s="22"/>
      <c r="N32" s="22"/>
      <c r="O32" s="22"/>
      <c r="P32" s="22"/>
      <c r="Q32" s="22"/>
      <c r="R32" s="22"/>
      <c r="S32" s="22"/>
      <c r="T32" s="21">
        <f t="shared" si="2"/>
        <v>2700</v>
      </c>
      <c r="U32" s="21">
        <f t="shared" si="3"/>
        <v>5500</v>
      </c>
    </row>
    <row r="33" spans="1:21">
      <c r="A33" s="21">
        <v>30</v>
      </c>
      <c r="B33" s="22">
        <v>202401053</v>
      </c>
      <c r="C33" s="22" t="s">
        <v>127</v>
      </c>
      <c r="D33" s="22" t="s">
        <v>128</v>
      </c>
      <c r="E33" s="21">
        <f>8200</f>
        <v>8200</v>
      </c>
      <c r="F33" s="22">
        <v>3000</v>
      </c>
      <c r="G33" s="22" t="s">
        <v>313</v>
      </c>
      <c r="H33" s="22">
        <v>2000</v>
      </c>
      <c r="I33" s="22" t="s">
        <v>425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1">
        <f t="shared" si="2"/>
        <v>5000</v>
      </c>
      <c r="U33" s="21">
        <f t="shared" si="3"/>
        <v>3200</v>
      </c>
    </row>
    <row r="34" spans="1:21">
      <c r="A34" s="21">
        <v>31</v>
      </c>
      <c r="B34" s="22">
        <v>202401056</v>
      </c>
      <c r="C34" s="22" t="s">
        <v>129</v>
      </c>
      <c r="D34" s="22" t="s">
        <v>130</v>
      </c>
      <c r="E34" s="21">
        <f>8200</f>
        <v>8200</v>
      </c>
      <c r="F34" s="22">
        <v>2000</v>
      </c>
      <c r="G34" s="22" t="s">
        <v>368</v>
      </c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1">
        <f t="shared" si="2"/>
        <v>2000</v>
      </c>
      <c r="U34" s="21">
        <f t="shared" si="3"/>
        <v>6200</v>
      </c>
    </row>
    <row r="35" spans="1:21">
      <c r="A35" s="21">
        <v>32</v>
      </c>
      <c r="B35" s="22">
        <v>202401070</v>
      </c>
      <c r="C35" s="22" t="s">
        <v>132</v>
      </c>
      <c r="D35" s="22" t="s">
        <v>133</v>
      </c>
      <c r="E35" s="21">
        <f>8200</f>
        <v>8200</v>
      </c>
      <c r="F35" s="24">
        <v>1200</v>
      </c>
      <c r="G35" s="22"/>
      <c r="H35" s="22">
        <v>3000</v>
      </c>
      <c r="I35" s="22" t="s">
        <v>307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1">
        <f t="shared" si="2"/>
        <v>4200</v>
      </c>
      <c r="U35" s="21">
        <f t="shared" si="3"/>
        <v>4000</v>
      </c>
    </row>
    <row r="36" spans="1:21">
      <c r="A36" s="21">
        <v>33</v>
      </c>
      <c r="B36" s="22">
        <v>202401069</v>
      </c>
      <c r="C36" s="22" t="s">
        <v>134</v>
      </c>
      <c r="D36" s="22" t="s">
        <v>135</v>
      </c>
      <c r="E36" s="21">
        <f>8200</f>
        <v>8200</v>
      </c>
      <c r="F36" s="22"/>
      <c r="G36" s="22"/>
      <c r="H36" s="22">
        <v>4100</v>
      </c>
      <c r="I36" s="22" t="s">
        <v>346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1">
        <f t="shared" si="2"/>
        <v>4100</v>
      </c>
      <c r="U36" s="21">
        <f t="shared" si="3"/>
        <v>4100</v>
      </c>
    </row>
    <row r="37" spans="1:21">
      <c r="A37" s="21">
        <v>34</v>
      </c>
      <c r="B37" s="22">
        <v>202401060</v>
      </c>
      <c r="C37" s="22" t="s">
        <v>136</v>
      </c>
      <c r="D37" s="22" t="s">
        <v>88</v>
      </c>
      <c r="E37" s="21">
        <f>8200</f>
        <v>8200</v>
      </c>
      <c r="F37" s="22"/>
      <c r="G37" s="22"/>
      <c r="H37" s="22">
        <v>4000</v>
      </c>
      <c r="I37" s="22" t="s">
        <v>320</v>
      </c>
      <c r="J37" s="22">
        <v>4000</v>
      </c>
      <c r="K37" s="22" t="s">
        <v>414</v>
      </c>
      <c r="L37" s="22"/>
      <c r="M37" s="22"/>
      <c r="N37" s="22"/>
      <c r="O37" s="22"/>
      <c r="P37" s="22"/>
      <c r="Q37" s="22"/>
      <c r="R37" s="22"/>
      <c r="S37" s="22"/>
      <c r="T37" s="21">
        <f t="shared" si="2"/>
        <v>8000</v>
      </c>
      <c r="U37" s="21">
        <f t="shared" si="3"/>
        <v>200</v>
      </c>
    </row>
    <row r="38" spans="1:21">
      <c r="A38" s="21">
        <v>35</v>
      </c>
      <c r="B38" s="22">
        <v>202401061</v>
      </c>
      <c r="C38" s="22" t="s">
        <v>137</v>
      </c>
      <c r="D38" s="22" t="s">
        <v>138</v>
      </c>
      <c r="E38" s="21">
        <f>8200</f>
        <v>8200</v>
      </c>
      <c r="F38" s="22"/>
      <c r="G38" s="22"/>
      <c r="H38" s="22">
        <v>500</v>
      </c>
      <c r="I38" s="22" t="s">
        <v>320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1">
        <f t="shared" si="2"/>
        <v>500</v>
      </c>
      <c r="U38" s="21">
        <f t="shared" si="3"/>
        <v>7700</v>
      </c>
    </row>
    <row r="39" spans="1:21">
      <c r="A39" s="21">
        <v>36</v>
      </c>
      <c r="B39" s="22"/>
      <c r="C39" s="22" t="s">
        <v>131</v>
      </c>
      <c r="D39" s="22" t="s">
        <v>427</v>
      </c>
      <c r="E39" s="21">
        <v>8200</v>
      </c>
      <c r="F39" s="22">
        <v>4000</v>
      </c>
      <c r="G39" s="22"/>
      <c r="H39" s="22">
        <v>2000</v>
      </c>
      <c r="I39" s="22" t="s">
        <v>428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1">
        <f t="shared" si="2"/>
        <v>6000</v>
      </c>
      <c r="U39" s="21">
        <f t="shared" si="3"/>
        <v>2200</v>
      </c>
    </row>
  </sheetData>
  <pageMargins left="0.7" right="0.7" top="0.75" bottom="0.75" header="0.3" footer="0.3"/>
  <ignoredErrors>
    <ignoredError sqref="T2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workbookViewId="0">
      <selection activeCell="G20" sqref="G20"/>
    </sheetView>
  </sheetViews>
  <sheetFormatPr defaultRowHeight="15.75"/>
  <cols>
    <col min="1" max="1" width="5" style="3" customWidth="1"/>
    <col min="2" max="2" width="17.5" style="3" customWidth="1"/>
    <col min="3" max="3" width="17.5" style="1" customWidth="1"/>
    <col min="4" max="4" width="15.375" style="1" customWidth="1"/>
    <col min="5" max="5" width="9.25" style="1" bestFit="1" customWidth="1"/>
    <col min="6" max="6" width="9.625" style="1" customWidth="1"/>
    <col min="7" max="7" width="9.25" style="1" bestFit="1" customWidth="1"/>
    <col min="8" max="8" width="8.125" style="1" customWidth="1"/>
    <col min="9" max="14" width="10.875" style="3" customWidth="1"/>
    <col min="15" max="26" width="9" style="1"/>
    <col min="27" max="27" width="10.75" style="3" customWidth="1"/>
    <col min="28" max="28" width="13.625" style="3" bestFit="1" customWidth="1"/>
    <col min="29" max="16384" width="9" style="1"/>
  </cols>
  <sheetData>
    <row r="1" spans="1:28">
      <c r="D1" s="27" t="s">
        <v>0</v>
      </c>
      <c r="E1" s="27"/>
    </row>
    <row r="2" spans="1:28">
      <c r="C2" s="49" t="s">
        <v>140</v>
      </c>
      <c r="D2" s="49"/>
      <c r="E2" s="49"/>
      <c r="F2" s="49"/>
      <c r="G2" s="49"/>
      <c r="H2" s="49"/>
      <c r="I2" s="49"/>
      <c r="J2" s="49"/>
    </row>
    <row r="3" spans="1:28">
      <c r="A3" s="5"/>
      <c r="B3" s="5" t="s">
        <v>2</v>
      </c>
      <c r="C3" s="2" t="s">
        <v>4</v>
      </c>
      <c r="D3" s="2" t="s">
        <v>3</v>
      </c>
      <c r="E3" s="2"/>
      <c r="F3" s="2" t="s">
        <v>5</v>
      </c>
      <c r="G3" s="2"/>
      <c r="H3" s="2"/>
      <c r="I3" s="5" t="s">
        <v>360</v>
      </c>
      <c r="J3" s="5"/>
      <c r="K3" s="5" t="s">
        <v>361</v>
      </c>
      <c r="M3" s="5" t="s">
        <v>362</v>
      </c>
      <c r="O3" s="2" t="s">
        <v>363</v>
      </c>
      <c r="Q3" s="2" t="s">
        <v>364</v>
      </c>
      <c r="S3" s="2" t="s">
        <v>366</v>
      </c>
      <c r="AA3" s="5" t="s">
        <v>260</v>
      </c>
      <c r="AB3" s="5" t="s">
        <v>261</v>
      </c>
    </row>
    <row r="4" spans="1:28">
      <c r="A4" s="3">
        <v>1</v>
      </c>
      <c r="B4" s="3">
        <v>202407001</v>
      </c>
      <c r="C4" s="1" t="s">
        <v>48</v>
      </c>
      <c r="D4" s="1" t="s">
        <v>120</v>
      </c>
      <c r="E4" s="1">
        <v>968</v>
      </c>
      <c r="F4" s="1">
        <f>8200</f>
        <v>8200</v>
      </c>
      <c r="G4" s="20"/>
      <c r="AA4" s="3">
        <f>G4+I4+K4+M4+O4+Q4+S4+U4+W4+Y4</f>
        <v>0</v>
      </c>
      <c r="AB4" s="3">
        <f>F4-AA4</f>
        <v>8200</v>
      </c>
    </row>
    <row r="5" spans="1:28">
      <c r="A5" s="3">
        <v>2</v>
      </c>
      <c r="B5" s="3">
        <v>202407002</v>
      </c>
      <c r="C5" s="1" t="s">
        <v>141</v>
      </c>
      <c r="D5" s="1" t="s">
        <v>142</v>
      </c>
      <c r="E5" s="28">
        <v>968</v>
      </c>
      <c r="F5" s="1">
        <f>8200</f>
        <v>8200</v>
      </c>
      <c r="I5" s="3">
        <v>2000</v>
      </c>
      <c r="J5" s="3" t="s">
        <v>309</v>
      </c>
      <c r="K5" s="3">
        <v>2000</v>
      </c>
      <c r="L5" s="3" t="s">
        <v>313</v>
      </c>
      <c r="M5" s="3">
        <v>2000</v>
      </c>
      <c r="N5" s="3" t="s">
        <v>417</v>
      </c>
      <c r="AA5" s="3">
        <f t="shared" ref="AA5:AA25" si="0">G5+I5+K5+M5+O5+Q5+S5+U5+W5+Y5</f>
        <v>6000</v>
      </c>
      <c r="AB5" s="3">
        <f t="shared" ref="AB5:AB25" si="1">F5-AA5</f>
        <v>2200</v>
      </c>
    </row>
    <row r="6" spans="1:28">
      <c r="A6" s="3">
        <v>3</v>
      </c>
      <c r="B6" s="3">
        <v>202407003</v>
      </c>
      <c r="C6" s="1" t="s">
        <v>141</v>
      </c>
      <c r="D6" s="1" t="s">
        <v>143</v>
      </c>
      <c r="E6" s="1">
        <v>968</v>
      </c>
      <c r="F6" s="1">
        <f>8200</f>
        <v>8200</v>
      </c>
      <c r="I6" s="3">
        <v>1900</v>
      </c>
      <c r="J6" s="3" t="s">
        <v>301</v>
      </c>
      <c r="K6" s="3">
        <v>2100</v>
      </c>
      <c r="L6" s="3" t="s">
        <v>318</v>
      </c>
      <c r="M6" s="3">
        <v>2000</v>
      </c>
      <c r="N6" s="3" t="s">
        <v>418</v>
      </c>
      <c r="AA6" s="3">
        <f t="shared" si="0"/>
        <v>6000</v>
      </c>
      <c r="AB6" s="3">
        <f t="shared" si="1"/>
        <v>2200</v>
      </c>
    </row>
    <row r="7" spans="1:28">
      <c r="A7" s="3">
        <v>4</v>
      </c>
      <c r="B7" s="3">
        <v>202407005</v>
      </c>
      <c r="C7" s="1" t="s">
        <v>144</v>
      </c>
      <c r="D7" s="1" t="s">
        <v>145</v>
      </c>
      <c r="E7" s="1">
        <v>968</v>
      </c>
      <c r="F7" s="1">
        <f>8200</f>
        <v>8200</v>
      </c>
      <c r="G7" s="20"/>
      <c r="I7" s="3">
        <f>2100-900</f>
        <v>1200</v>
      </c>
      <c r="J7" s="3" t="s">
        <v>314</v>
      </c>
      <c r="K7" s="3">
        <v>3000</v>
      </c>
      <c r="AA7" s="3">
        <f>G7+I7+K7+M7+O7+Q7+S7+U7+W7+Y7</f>
        <v>4200</v>
      </c>
      <c r="AB7" s="3">
        <f t="shared" si="1"/>
        <v>4000</v>
      </c>
    </row>
    <row r="8" spans="1:28">
      <c r="A8" s="3">
        <v>5</v>
      </c>
      <c r="B8" s="3">
        <v>202407006</v>
      </c>
      <c r="C8" s="1" t="s">
        <v>146</v>
      </c>
      <c r="D8" s="1" t="s">
        <v>147</v>
      </c>
      <c r="E8" s="1">
        <v>968</v>
      </c>
      <c r="F8" s="1">
        <f>8200</f>
        <v>8200</v>
      </c>
      <c r="G8" s="20"/>
      <c r="AA8" s="3">
        <f>I8+K8+M8+O8+Q8+S8+U8+W8+Y8</f>
        <v>0</v>
      </c>
      <c r="AB8" s="3">
        <f t="shared" si="1"/>
        <v>8200</v>
      </c>
    </row>
    <row r="9" spans="1:28">
      <c r="A9" s="3">
        <v>6</v>
      </c>
      <c r="B9" s="3">
        <v>202407008</v>
      </c>
      <c r="C9" s="1" t="s">
        <v>148</v>
      </c>
      <c r="D9" s="1" t="s">
        <v>149</v>
      </c>
      <c r="E9" s="1">
        <v>968</v>
      </c>
      <c r="F9" s="1">
        <f>8200</f>
        <v>8200</v>
      </c>
      <c r="K9" s="3">
        <v>2000</v>
      </c>
      <c r="L9" s="3" t="s">
        <v>331</v>
      </c>
      <c r="M9" s="3">
        <v>5000</v>
      </c>
      <c r="N9" s="3" t="s">
        <v>407</v>
      </c>
      <c r="AA9" s="3">
        <f t="shared" si="0"/>
        <v>7000</v>
      </c>
      <c r="AB9" s="3">
        <f t="shared" si="1"/>
        <v>1200</v>
      </c>
    </row>
    <row r="10" spans="1:28">
      <c r="A10" s="3">
        <v>7</v>
      </c>
      <c r="B10" s="3">
        <v>202407009</v>
      </c>
      <c r="C10" s="1" t="s">
        <v>150</v>
      </c>
      <c r="D10" s="1" t="s">
        <v>151</v>
      </c>
      <c r="E10" s="1">
        <v>968</v>
      </c>
      <c r="F10" s="1">
        <f>8200</f>
        <v>8200</v>
      </c>
      <c r="G10" s="20"/>
      <c r="AA10" s="3">
        <f>I10+K10+M10+O10+Q10+S10+U10+W10+Y10</f>
        <v>0</v>
      </c>
      <c r="AB10" s="3">
        <f t="shared" si="1"/>
        <v>8200</v>
      </c>
    </row>
    <row r="11" spans="1:28">
      <c r="A11" s="3">
        <v>8</v>
      </c>
      <c r="B11" s="3">
        <v>202407010</v>
      </c>
      <c r="C11" s="1" t="s">
        <v>152</v>
      </c>
      <c r="D11" s="1" t="s">
        <v>153</v>
      </c>
      <c r="E11" s="1">
        <v>968</v>
      </c>
      <c r="F11" s="1">
        <f>8200</f>
        <v>8200</v>
      </c>
      <c r="I11" s="3">
        <v>1000</v>
      </c>
      <c r="J11" s="3" t="s">
        <v>271</v>
      </c>
      <c r="K11" s="3">
        <v>3000</v>
      </c>
      <c r="L11" s="3" t="s">
        <v>315</v>
      </c>
      <c r="M11" s="3">
        <v>1000</v>
      </c>
      <c r="N11" s="3" t="s">
        <v>411</v>
      </c>
      <c r="AA11" s="3">
        <f t="shared" si="0"/>
        <v>5000</v>
      </c>
      <c r="AB11" s="3">
        <f t="shared" si="1"/>
        <v>3200</v>
      </c>
    </row>
    <row r="12" spans="1:28">
      <c r="A12" s="3">
        <v>9</v>
      </c>
      <c r="B12" s="3">
        <v>202407011</v>
      </c>
      <c r="C12" s="1" t="s">
        <v>154</v>
      </c>
      <c r="D12" s="1" t="s">
        <v>155</v>
      </c>
      <c r="E12" s="1">
        <v>968</v>
      </c>
      <c r="F12" s="1">
        <f>8200</f>
        <v>8200</v>
      </c>
      <c r="K12" s="3">
        <v>3500</v>
      </c>
      <c r="L12" s="3" t="s">
        <v>332</v>
      </c>
      <c r="AA12" s="3">
        <f t="shared" si="0"/>
        <v>3500</v>
      </c>
      <c r="AB12" s="3">
        <f t="shared" si="1"/>
        <v>4700</v>
      </c>
    </row>
    <row r="13" spans="1:28">
      <c r="A13" s="3">
        <v>10</v>
      </c>
      <c r="B13" s="3">
        <v>202407012</v>
      </c>
      <c r="C13" s="1" t="s">
        <v>156</v>
      </c>
      <c r="D13" s="1" t="s">
        <v>157</v>
      </c>
      <c r="E13" s="1">
        <v>968</v>
      </c>
      <c r="F13" s="1">
        <f>8200</f>
        <v>8200</v>
      </c>
      <c r="I13" s="3">
        <v>4100</v>
      </c>
      <c r="J13" s="3" t="s">
        <v>305</v>
      </c>
      <c r="AA13" s="3">
        <f t="shared" si="0"/>
        <v>4100</v>
      </c>
      <c r="AB13" s="3">
        <f t="shared" si="1"/>
        <v>4100</v>
      </c>
    </row>
    <row r="14" spans="1:28">
      <c r="A14" s="3">
        <v>11</v>
      </c>
      <c r="B14" s="3">
        <v>202407017</v>
      </c>
      <c r="C14" s="1" t="s">
        <v>158</v>
      </c>
      <c r="D14" s="1" t="s">
        <v>159</v>
      </c>
      <c r="E14" s="28">
        <v>968</v>
      </c>
      <c r="F14" s="1">
        <f>8200</f>
        <v>8200</v>
      </c>
      <c r="I14" s="3">
        <v>4000</v>
      </c>
      <c r="AA14" s="3">
        <f t="shared" si="0"/>
        <v>4000</v>
      </c>
      <c r="AB14" s="3">
        <f t="shared" si="1"/>
        <v>4200</v>
      </c>
    </row>
    <row r="15" spans="1:28">
      <c r="A15" s="3">
        <v>12</v>
      </c>
      <c r="B15" s="3">
        <v>202407018</v>
      </c>
      <c r="C15" s="1" t="s">
        <v>65</v>
      </c>
      <c r="D15" s="1" t="s">
        <v>160</v>
      </c>
      <c r="E15" s="1">
        <v>968</v>
      </c>
      <c r="F15" s="1">
        <f>8200</f>
        <v>8200</v>
      </c>
      <c r="G15" s="20"/>
      <c r="I15" s="3">
        <f>2000-200</f>
        <v>1800</v>
      </c>
      <c r="J15" s="3" t="s">
        <v>315</v>
      </c>
      <c r="K15" s="3">
        <v>2000</v>
      </c>
      <c r="L15" s="3" t="s">
        <v>315</v>
      </c>
      <c r="M15" s="3">
        <v>1000</v>
      </c>
      <c r="N15" s="3" t="s">
        <v>411</v>
      </c>
      <c r="AA15" s="3">
        <f t="shared" si="0"/>
        <v>4800</v>
      </c>
      <c r="AB15" s="3">
        <f t="shared" si="1"/>
        <v>3400</v>
      </c>
    </row>
    <row r="16" spans="1:28">
      <c r="A16" s="3">
        <v>13</v>
      </c>
      <c r="B16" s="3">
        <v>202407020</v>
      </c>
      <c r="C16" s="1" t="s">
        <v>146</v>
      </c>
      <c r="D16" s="1" t="s">
        <v>161</v>
      </c>
      <c r="E16" s="1">
        <v>968</v>
      </c>
      <c r="F16" s="1">
        <f>8200</f>
        <v>8200</v>
      </c>
      <c r="K16" s="3">
        <v>2500</v>
      </c>
      <c r="L16" s="3" t="s">
        <v>338</v>
      </c>
      <c r="AA16" s="3">
        <f t="shared" si="0"/>
        <v>2500</v>
      </c>
      <c r="AB16" s="3">
        <f t="shared" si="1"/>
        <v>5700</v>
      </c>
    </row>
    <row r="17" spans="1:28">
      <c r="A17" s="3">
        <v>14</v>
      </c>
      <c r="B17" s="3">
        <v>202407021</v>
      </c>
      <c r="C17" s="1" t="s">
        <v>162</v>
      </c>
      <c r="D17" s="1" t="s">
        <v>163</v>
      </c>
      <c r="E17" s="1">
        <v>968</v>
      </c>
      <c r="F17" s="1">
        <f>8200</f>
        <v>8200</v>
      </c>
      <c r="K17" s="3">
        <v>3000</v>
      </c>
      <c r="L17" s="3" t="s">
        <v>320</v>
      </c>
      <c r="AA17" s="3">
        <f t="shared" si="0"/>
        <v>3000</v>
      </c>
      <c r="AB17" s="3">
        <f t="shared" si="1"/>
        <v>5200</v>
      </c>
    </row>
    <row r="18" spans="1:28">
      <c r="A18" s="3">
        <v>15</v>
      </c>
      <c r="B18" s="3">
        <v>202407022</v>
      </c>
      <c r="C18" s="1" t="s">
        <v>164</v>
      </c>
      <c r="D18" s="1" t="s">
        <v>165</v>
      </c>
      <c r="E18" s="1">
        <v>968</v>
      </c>
      <c r="F18" s="1">
        <f>8200</f>
        <v>8200</v>
      </c>
      <c r="I18" s="3">
        <v>4100</v>
      </c>
      <c r="J18" s="3" t="s">
        <v>306</v>
      </c>
      <c r="K18" s="3">
        <v>2050</v>
      </c>
      <c r="L18" s="3" t="s">
        <v>420</v>
      </c>
      <c r="AA18" s="3">
        <f t="shared" si="0"/>
        <v>6150</v>
      </c>
      <c r="AB18" s="3">
        <f t="shared" si="1"/>
        <v>2050</v>
      </c>
    </row>
    <row r="19" spans="1:28">
      <c r="A19" s="3">
        <v>16</v>
      </c>
      <c r="B19" s="3">
        <v>202407023</v>
      </c>
      <c r="C19" s="1" t="s">
        <v>166</v>
      </c>
      <c r="D19" s="1" t="s">
        <v>20</v>
      </c>
      <c r="E19" s="28">
        <v>968</v>
      </c>
      <c r="F19" s="1">
        <f>8200</f>
        <v>8200</v>
      </c>
      <c r="I19" s="3">
        <v>4100</v>
      </c>
      <c r="J19" s="3" t="s">
        <v>300</v>
      </c>
      <c r="K19" s="3">
        <v>2000</v>
      </c>
      <c r="L19" s="3" t="s">
        <v>413</v>
      </c>
      <c r="AA19" s="3">
        <f t="shared" si="0"/>
        <v>6100</v>
      </c>
      <c r="AB19" s="3">
        <f t="shared" si="1"/>
        <v>2100</v>
      </c>
    </row>
    <row r="20" spans="1:28">
      <c r="A20" s="3">
        <v>17</v>
      </c>
      <c r="B20" s="3">
        <v>202407024</v>
      </c>
      <c r="C20" s="1" t="s">
        <v>144</v>
      </c>
      <c r="D20" s="1" t="s">
        <v>167</v>
      </c>
      <c r="E20" s="1">
        <v>968</v>
      </c>
      <c r="F20" s="1">
        <f>8200</f>
        <v>8200</v>
      </c>
      <c r="I20" s="3">
        <v>2100</v>
      </c>
      <c r="J20" s="3" t="s">
        <v>315</v>
      </c>
      <c r="K20" s="3">
        <v>2000</v>
      </c>
      <c r="L20" s="3" t="s">
        <v>417</v>
      </c>
      <c r="AA20" s="3">
        <f t="shared" si="0"/>
        <v>4100</v>
      </c>
      <c r="AB20" s="3">
        <f t="shared" si="1"/>
        <v>4100</v>
      </c>
    </row>
    <row r="21" spans="1:28">
      <c r="A21" s="3">
        <v>18</v>
      </c>
      <c r="B21" s="3">
        <v>202407025</v>
      </c>
      <c r="C21" s="1" t="s">
        <v>168</v>
      </c>
      <c r="D21" s="1" t="s">
        <v>136</v>
      </c>
      <c r="E21" s="1">
        <v>968</v>
      </c>
      <c r="F21" s="1">
        <f>8200</f>
        <v>8200</v>
      </c>
      <c r="I21" s="3">
        <v>4200</v>
      </c>
      <c r="J21" s="3" t="s">
        <v>312</v>
      </c>
      <c r="K21" s="3">
        <v>2000</v>
      </c>
      <c r="L21" s="3" t="s">
        <v>417</v>
      </c>
      <c r="AA21" s="3">
        <f t="shared" si="0"/>
        <v>6200</v>
      </c>
      <c r="AB21" s="3">
        <f t="shared" si="1"/>
        <v>2000</v>
      </c>
    </row>
    <row r="22" spans="1:28">
      <c r="A22" s="3">
        <v>19</v>
      </c>
      <c r="B22" s="3">
        <v>202407026</v>
      </c>
      <c r="C22" s="1" t="s">
        <v>169</v>
      </c>
      <c r="D22" s="1" t="s">
        <v>170</v>
      </c>
      <c r="E22" s="28">
        <v>968</v>
      </c>
      <c r="F22" s="1">
        <f>8200</f>
        <v>8200</v>
      </c>
      <c r="I22" s="3">
        <v>4000</v>
      </c>
      <c r="J22" s="3" t="s">
        <v>139</v>
      </c>
      <c r="K22" s="3">
        <v>4200</v>
      </c>
      <c r="L22" s="3" t="s">
        <v>139</v>
      </c>
      <c r="AA22" s="3">
        <f t="shared" si="0"/>
        <v>8200</v>
      </c>
      <c r="AB22" s="3">
        <f t="shared" si="1"/>
        <v>0</v>
      </c>
    </row>
    <row r="23" spans="1:28">
      <c r="A23" s="3">
        <v>20</v>
      </c>
      <c r="B23" s="3">
        <v>202407027</v>
      </c>
      <c r="C23" s="1" t="s">
        <v>171</v>
      </c>
      <c r="D23" s="1" t="s">
        <v>172</v>
      </c>
      <c r="E23" s="1">
        <v>968</v>
      </c>
      <c r="F23" s="1">
        <f>8200</f>
        <v>8200</v>
      </c>
      <c r="M23" s="3">
        <v>3000</v>
      </c>
      <c r="N23" s="3" t="s">
        <v>420</v>
      </c>
      <c r="AA23" s="3">
        <f t="shared" si="0"/>
        <v>3000</v>
      </c>
      <c r="AB23" s="3">
        <f t="shared" si="1"/>
        <v>5200</v>
      </c>
    </row>
    <row r="24" spans="1:28">
      <c r="A24" s="3">
        <v>21</v>
      </c>
      <c r="B24" s="3">
        <v>202407028</v>
      </c>
      <c r="C24" s="1" t="s">
        <v>173</v>
      </c>
      <c r="D24" s="1" t="s">
        <v>174</v>
      </c>
      <c r="E24" s="28">
        <v>968</v>
      </c>
      <c r="F24" s="1">
        <f>8200</f>
        <v>8200</v>
      </c>
      <c r="I24" s="3">
        <v>4500</v>
      </c>
      <c r="J24" s="3" t="s">
        <v>310</v>
      </c>
      <c r="M24" s="3">
        <v>1500</v>
      </c>
      <c r="AA24" s="3">
        <f t="shared" si="0"/>
        <v>6000</v>
      </c>
      <c r="AB24" s="3">
        <f t="shared" si="1"/>
        <v>2200</v>
      </c>
    </row>
    <row r="25" spans="1:28">
      <c r="A25" s="3">
        <v>22</v>
      </c>
      <c r="B25" s="3">
        <v>202407029</v>
      </c>
      <c r="C25" s="1" t="s">
        <v>321</v>
      </c>
      <c r="D25" s="1" t="s">
        <v>322</v>
      </c>
      <c r="E25" s="28"/>
      <c r="F25" s="1">
        <f>8200</f>
        <v>8200</v>
      </c>
      <c r="M25" s="3">
        <v>4000</v>
      </c>
      <c r="N25" s="3" t="s">
        <v>412</v>
      </c>
      <c r="AA25" s="3">
        <f t="shared" si="0"/>
        <v>4000</v>
      </c>
      <c r="AB25" s="3">
        <f t="shared" si="1"/>
        <v>4200</v>
      </c>
    </row>
  </sheetData>
  <mergeCells count="1">
    <mergeCell ref="C2:J2"/>
  </mergeCells>
  <pageMargins left="0.7" right="0.7" top="0.75" bottom="0.75" header="0.3" footer="0.3"/>
  <ignoredErrors>
    <ignoredError sqref="AA8:AA10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2"/>
  <sheetViews>
    <sheetView topLeftCell="A16" workbookViewId="0">
      <selection activeCell="AB7" sqref="AB7"/>
    </sheetView>
  </sheetViews>
  <sheetFormatPr defaultRowHeight="15.75"/>
  <cols>
    <col min="1" max="1" width="5.625" style="3" customWidth="1"/>
    <col min="2" max="2" width="18.625" style="1" customWidth="1"/>
    <col min="3" max="3" width="16.625" style="1" customWidth="1"/>
    <col min="4" max="4" width="21.25" style="1" customWidth="1"/>
    <col min="5" max="5" width="11.375" style="3" bestFit="1" customWidth="1"/>
    <col min="6" max="6" width="9.25" style="1" bestFit="1" customWidth="1"/>
    <col min="7" max="7" width="9" style="1"/>
    <col min="8" max="8" width="13.625" style="3" bestFit="1" customWidth="1"/>
    <col min="9" max="9" width="10.5" style="3" customWidth="1"/>
    <col min="10" max="10" width="13.625" style="3" bestFit="1" customWidth="1"/>
    <col min="11" max="11" width="11.375" style="3" customWidth="1"/>
    <col min="12" max="12" width="13.625" style="3" bestFit="1" customWidth="1"/>
    <col min="13" max="13" width="9.75" style="3" customWidth="1"/>
    <col min="14" max="14" width="12.25" style="3" customWidth="1"/>
    <col min="15" max="15" width="9.375" style="3" customWidth="1"/>
    <col min="16" max="16" width="9.25" style="3" bestFit="1" customWidth="1"/>
    <col min="17" max="17" width="9" style="3"/>
    <col min="18" max="24" width="9" style="1"/>
    <col min="25" max="25" width="13" style="3" customWidth="1"/>
    <col min="26" max="26" width="11.25" style="3" bestFit="1" customWidth="1"/>
    <col min="27" max="16384" width="9" style="1"/>
  </cols>
  <sheetData>
    <row r="1" spans="1:26">
      <c r="A1" s="5"/>
      <c r="B1" s="2"/>
      <c r="C1" s="29" t="s">
        <v>0</v>
      </c>
      <c r="D1" s="2"/>
      <c r="E1" s="30"/>
    </row>
    <row r="2" spans="1:26">
      <c r="A2" s="5"/>
      <c r="B2" s="2"/>
      <c r="C2" s="31" t="s">
        <v>175</v>
      </c>
      <c r="D2" s="2"/>
      <c r="E2" s="30"/>
    </row>
    <row r="3" spans="1:26">
      <c r="A3" s="32"/>
      <c r="B3" s="33" t="s">
        <v>2</v>
      </c>
      <c r="C3" s="33" t="s">
        <v>176</v>
      </c>
      <c r="D3" s="33" t="s">
        <v>177</v>
      </c>
      <c r="E3" s="34" t="s">
        <v>178</v>
      </c>
      <c r="F3" s="22"/>
      <c r="G3" s="22"/>
      <c r="H3" s="21" t="s">
        <v>360</v>
      </c>
      <c r="I3" s="21"/>
      <c r="J3" s="21" t="s">
        <v>361</v>
      </c>
      <c r="K3" s="21"/>
      <c r="L3" s="21" t="s">
        <v>362</v>
      </c>
      <c r="M3" s="21"/>
      <c r="N3" s="21" t="s">
        <v>363</v>
      </c>
      <c r="O3" s="21"/>
      <c r="P3" s="21" t="s">
        <v>364</v>
      </c>
      <c r="Q3" s="21"/>
      <c r="R3" s="22" t="s">
        <v>366</v>
      </c>
      <c r="S3" s="22"/>
      <c r="T3" s="22"/>
      <c r="U3" s="22"/>
      <c r="V3" s="22"/>
      <c r="W3" s="22"/>
      <c r="X3" s="22"/>
      <c r="Y3" s="21" t="s">
        <v>260</v>
      </c>
      <c r="Z3" s="21" t="s">
        <v>261</v>
      </c>
    </row>
    <row r="4" spans="1:26">
      <c r="A4" s="21">
        <v>1</v>
      </c>
      <c r="B4" s="22">
        <v>202501001</v>
      </c>
      <c r="C4" s="22" t="s">
        <v>179</v>
      </c>
      <c r="D4" s="22" t="s">
        <v>180</v>
      </c>
      <c r="E4" s="35">
        <f>8200</f>
        <v>8200</v>
      </c>
      <c r="F4" s="22"/>
      <c r="G4" s="22"/>
      <c r="H4" s="21">
        <v>2000</v>
      </c>
      <c r="I4" s="21" t="s">
        <v>308</v>
      </c>
      <c r="J4" s="21">
        <v>2000</v>
      </c>
      <c r="K4" s="21" t="s">
        <v>344</v>
      </c>
      <c r="L4" s="21">
        <v>500</v>
      </c>
      <c r="M4" s="21" t="s">
        <v>370</v>
      </c>
      <c r="N4" s="21">
        <v>1500</v>
      </c>
      <c r="O4" s="21" t="s">
        <v>374</v>
      </c>
      <c r="P4" s="21"/>
      <c r="Q4" s="21"/>
      <c r="R4" s="22"/>
      <c r="S4" s="22"/>
      <c r="T4" s="22"/>
      <c r="U4" s="22"/>
      <c r="V4" s="22"/>
      <c r="W4" s="22"/>
      <c r="X4" s="22"/>
      <c r="Y4" s="21">
        <f t="shared" ref="Y4:Y12" si="0">F4+H4+J4+L4+N4+P4+R4+T4+V4</f>
        <v>6000</v>
      </c>
      <c r="Z4" s="36">
        <f t="shared" ref="Z4:Z42" si="1">E4-Y4</f>
        <v>2200</v>
      </c>
    </row>
    <row r="5" spans="1:26">
      <c r="A5" s="21">
        <v>2</v>
      </c>
      <c r="B5" s="22">
        <v>202501003</v>
      </c>
      <c r="C5" s="22" t="s">
        <v>181</v>
      </c>
      <c r="D5" s="22" t="s">
        <v>18</v>
      </c>
      <c r="E5" s="35">
        <f>8200</f>
        <v>8200</v>
      </c>
      <c r="F5" s="22"/>
      <c r="G5" s="22"/>
      <c r="H5" s="21"/>
      <c r="I5" s="21"/>
      <c r="J5" s="21">
        <v>6000</v>
      </c>
      <c r="K5" s="21" t="s">
        <v>346</v>
      </c>
      <c r="L5" s="21"/>
      <c r="M5" s="21"/>
      <c r="N5" s="21"/>
      <c r="O5" s="21"/>
      <c r="P5" s="21"/>
      <c r="Q5" s="21"/>
      <c r="R5" s="22"/>
      <c r="S5" s="22"/>
      <c r="T5" s="22"/>
      <c r="U5" s="22"/>
      <c r="V5" s="22"/>
      <c r="W5" s="22"/>
      <c r="X5" s="22"/>
      <c r="Y5" s="21">
        <f t="shared" si="0"/>
        <v>6000</v>
      </c>
      <c r="Z5" s="36">
        <f t="shared" si="1"/>
        <v>2200</v>
      </c>
    </row>
    <row r="6" spans="1:26">
      <c r="A6" s="21">
        <v>3</v>
      </c>
      <c r="B6" s="22">
        <v>202501004</v>
      </c>
      <c r="C6" s="22" t="s">
        <v>182</v>
      </c>
      <c r="D6" s="22" t="s">
        <v>183</v>
      </c>
      <c r="E6" s="35">
        <f>8200</f>
        <v>8200</v>
      </c>
      <c r="F6" s="22"/>
      <c r="G6" s="22"/>
      <c r="H6" s="21">
        <v>6000</v>
      </c>
      <c r="I6" s="21" t="s">
        <v>312</v>
      </c>
      <c r="J6" s="21"/>
      <c r="K6" s="21"/>
      <c r="L6" s="21"/>
      <c r="M6" s="21"/>
      <c r="N6" s="21"/>
      <c r="O6" s="21"/>
      <c r="P6" s="21"/>
      <c r="Q6" s="21"/>
      <c r="R6" s="22"/>
      <c r="S6" s="22"/>
      <c r="T6" s="22"/>
      <c r="U6" s="22"/>
      <c r="V6" s="22"/>
      <c r="W6" s="22"/>
      <c r="X6" s="22"/>
      <c r="Y6" s="21">
        <f t="shared" si="0"/>
        <v>6000</v>
      </c>
      <c r="Z6" s="36">
        <f t="shared" si="1"/>
        <v>2200</v>
      </c>
    </row>
    <row r="7" spans="1:26">
      <c r="A7" s="21">
        <v>4</v>
      </c>
      <c r="B7" s="22">
        <v>202501005</v>
      </c>
      <c r="C7" s="22" t="s">
        <v>184</v>
      </c>
      <c r="D7" s="22" t="s">
        <v>20</v>
      </c>
      <c r="E7" s="35">
        <f>8200</f>
        <v>8200</v>
      </c>
      <c r="F7" s="22"/>
      <c r="G7" s="22"/>
      <c r="H7" s="21"/>
      <c r="I7" s="21"/>
      <c r="J7" s="21"/>
      <c r="K7" s="21"/>
      <c r="L7" s="21">
        <v>4000</v>
      </c>
      <c r="M7" s="21" t="s">
        <v>395</v>
      </c>
      <c r="N7" s="21"/>
      <c r="O7" s="21"/>
      <c r="P7" s="21"/>
      <c r="Q7" s="21"/>
      <c r="R7" s="22"/>
      <c r="S7" s="22"/>
      <c r="T7" s="22"/>
      <c r="U7" s="22"/>
      <c r="V7" s="22"/>
      <c r="W7" s="22"/>
      <c r="X7" s="22"/>
      <c r="Y7" s="21">
        <f t="shared" si="0"/>
        <v>4000</v>
      </c>
      <c r="Z7" s="36">
        <f t="shared" si="1"/>
        <v>4200</v>
      </c>
    </row>
    <row r="8" spans="1:26">
      <c r="A8" s="21">
        <v>5</v>
      </c>
      <c r="B8" s="22">
        <v>202501006</v>
      </c>
      <c r="C8" s="22" t="s">
        <v>185</v>
      </c>
      <c r="D8" s="22" t="s">
        <v>101</v>
      </c>
      <c r="E8" s="35">
        <f>8200</f>
        <v>8200</v>
      </c>
      <c r="F8" s="22"/>
      <c r="G8" s="22"/>
      <c r="H8" s="21">
        <v>3700</v>
      </c>
      <c r="I8" s="21" t="s">
        <v>258</v>
      </c>
      <c r="J8" s="21">
        <v>800</v>
      </c>
      <c r="K8" s="21" t="s">
        <v>341</v>
      </c>
      <c r="L8" s="21">
        <v>2000</v>
      </c>
      <c r="M8" s="21" t="s">
        <v>346</v>
      </c>
      <c r="N8" s="21"/>
      <c r="O8" s="21"/>
      <c r="P8" s="21"/>
      <c r="Q8" s="21"/>
      <c r="R8" s="22"/>
      <c r="S8" s="22"/>
      <c r="T8" s="22"/>
      <c r="U8" s="22"/>
      <c r="V8" s="22"/>
      <c r="W8" s="22"/>
      <c r="X8" s="22"/>
      <c r="Y8" s="21">
        <f t="shared" si="0"/>
        <v>6500</v>
      </c>
      <c r="Z8" s="36">
        <f t="shared" si="1"/>
        <v>1700</v>
      </c>
    </row>
    <row r="9" spans="1:26">
      <c r="A9" s="21">
        <v>6</v>
      </c>
      <c r="B9" s="22">
        <v>202501007</v>
      </c>
      <c r="C9" s="22" t="s">
        <v>186</v>
      </c>
      <c r="D9" s="22" t="s">
        <v>187</v>
      </c>
      <c r="E9" s="35">
        <f>8200</f>
        <v>8200</v>
      </c>
      <c r="F9" s="22"/>
      <c r="G9" s="22"/>
      <c r="H9" s="21"/>
      <c r="I9" s="21"/>
      <c r="J9" s="21">
        <v>2000</v>
      </c>
      <c r="K9" s="21" t="s">
        <v>352</v>
      </c>
      <c r="L9" s="21">
        <v>1000</v>
      </c>
      <c r="M9" s="21" t="s">
        <v>415</v>
      </c>
      <c r="N9" s="21">
        <v>2000</v>
      </c>
      <c r="O9" s="21" t="s">
        <v>395</v>
      </c>
      <c r="P9" s="21">
        <v>2000</v>
      </c>
      <c r="Q9" s="21" t="s">
        <v>441</v>
      </c>
      <c r="R9" s="22"/>
      <c r="S9" s="22"/>
      <c r="T9" s="22"/>
      <c r="U9" s="22"/>
      <c r="V9" s="22"/>
      <c r="W9" s="22"/>
      <c r="X9" s="22"/>
      <c r="Y9" s="21">
        <f t="shared" si="0"/>
        <v>7000</v>
      </c>
      <c r="Z9" s="36">
        <f t="shared" si="1"/>
        <v>1200</v>
      </c>
    </row>
    <row r="10" spans="1:26">
      <c r="A10" s="21">
        <v>7</v>
      </c>
      <c r="B10" s="22">
        <v>202501008</v>
      </c>
      <c r="C10" s="22" t="s">
        <v>188</v>
      </c>
      <c r="D10" s="22" t="s">
        <v>189</v>
      </c>
      <c r="E10" s="35">
        <f>8200</f>
        <v>8200</v>
      </c>
      <c r="F10" s="22"/>
      <c r="G10" s="22"/>
      <c r="H10" s="21">
        <v>1500</v>
      </c>
      <c r="I10" s="21" t="s">
        <v>339</v>
      </c>
      <c r="J10" s="21">
        <v>2500</v>
      </c>
      <c r="K10" s="21" t="s">
        <v>346</v>
      </c>
      <c r="L10" s="21">
        <v>2000</v>
      </c>
      <c r="M10" s="21" t="s">
        <v>376</v>
      </c>
      <c r="N10" s="21"/>
      <c r="O10" s="21"/>
      <c r="P10" s="21"/>
      <c r="Q10" s="21"/>
      <c r="R10" s="22"/>
      <c r="S10" s="22"/>
      <c r="T10" s="22"/>
      <c r="U10" s="22"/>
      <c r="V10" s="22"/>
      <c r="W10" s="22"/>
      <c r="X10" s="22"/>
      <c r="Y10" s="21">
        <f t="shared" si="0"/>
        <v>6000</v>
      </c>
      <c r="Z10" s="36">
        <f t="shared" si="1"/>
        <v>2200</v>
      </c>
    </row>
    <row r="11" spans="1:26">
      <c r="A11" s="21">
        <v>8</v>
      </c>
      <c r="B11" s="22">
        <v>202501009</v>
      </c>
      <c r="C11" s="22" t="s">
        <v>131</v>
      </c>
      <c r="D11" s="22" t="s">
        <v>40</v>
      </c>
      <c r="E11" s="35">
        <f>8200</f>
        <v>8200</v>
      </c>
      <c r="F11" s="22"/>
      <c r="G11" s="22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2"/>
      <c r="S11" s="22"/>
      <c r="T11" s="22"/>
      <c r="U11" s="22"/>
      <c r="V11" s="22"/>
      <c r="W11" s="22"/>
      <c r="X11" s="22"/>
      <c r="Y11" s="21">
        <f t="shared" si="0"/>
        <v>0</v>
      </c>
      <c r="Z11" s="36">
        <f t="shared" si="1"/>
        <v>8200</v>
      </c>
    </row>
    <row r="12" spans="1:26">
      <c r="A12" s="21">
        <v>9</v>
      </c>
      <c r="B12" s="22">
        <v>202501010</v>
      </c>
      <c r="C12" s="22" t="s">
        <v>124</v>
      </c>
      <c r="D12" s="22" t="s">
        <v>190</v>
      </c>
      <c r="E12" s="35">
        <f>8200</f>
        <v>8200</v>
      </c>
      <c r="F12" s="22"/>
      <c r="G12" s="22"/>
      <c r="H12" s="21">
        <v>2000</v>
      </c>
      <c r="I12" s="21" t="s">
        <v>337</v>
      </c>
      <c r="J12" s="21">
        <v>2200</v>
      </c>
      <c r="K12" s="21" t="s">
        <v>338</v>
      </c>
      <c r="L12" s="21">
        <v>2000</v>
      </c>
      <c r="M12" s="21" t="s">
        <v>413</v>
      </c>
      <c r="N12" s="21"/>
      <c r="O12" s="21"/>
      <c r="P12" s="21"/>
      <c r="Q12" s="21"/>
      <c r="R12" s="22"/>
      <c r="S12" s="22"/>
      <c r="T12" s="22"/>
      <c r="U12" s="22"/>
      <c r="V12" s="22"/>
      <c r="W12" s="22"/>
      <c r="X12" s="22"/>
      <c r="Y12" s="21">
        <f t="shared" si="0"/>
        <v>6200</v>
      </c>
      <c r="Z12" s="36">
        <f t="shared" si="1"/>
        <v>2000</v>
      </c>
    </row>
    <row r="13" spans="1:26">
      <c r="A13" s="21">
        <v>10</v>
      </c>
      <c r="B13" s="22">
        <v>202501011</v>
      </c>
      <c r="C13" s="22" t="s">
        <v>191</v>
      </c>
      <c r="D13" s="22" t="s">
        <v>192</v>
      </c>
      <c r="E13" s="35">
        <f>8200</f>
        <v>8200</v>
      </c>
      <c r="F13" s="23"/>
      <c r="G13" s="22"/>
      <c r="H13" s="21"/>
      <c r="I13" s="21"/>
      <c r="J13" s="21"/>
      <c r="K13" s="21"/>
      <c r="L13" s="21">
        <v>500</v>
      </c>
      <c r="M13" s="21" t="s">
        <v>350</v>
      </c>
      <c r="N13" s="21"/>
      <c r="O13" s="21"/>
      <c r="P13" s="21"/>
      <c r="Q13" s="21"/>
      <c r="R13" s="22"/>
      <c r="S13" s="22"/>
      <c r="T13" s="22"/>
      <c r="U13" s="22"/>
      <c r="V13" s="22"/>
      <c r="W13" s="22"/>
      <c r="X13" s="22"/>
      <c r="Y13" s="21">
        <f>H13+J13+L13+N13+P13+R13+T13+V13</f>
        <v>500</v>
      </c>
      <c r="Z13" s="36">
        <f t="shared" si="1"/>
        <v>7700</v>
      </c>
    </row>
    <row r="14" spans="1:26">
      <c r="A14" s="21">
        <v>11</v>
      </c>
      <c r="B14" s="22">
        <v>202501013</v>
      </c>
      <c r="C14" s="22" t="s">
        <v>193</v>
      </c>
      <c r="D14" s="22" t="s">
        <v>194</v>
      </c>
      <c r="E14" s="35">
        <f>8200</f>
        <v>8200</v>
      </c>
      <c r="F14" s="22"/>
      <c r="G14" s="22"/>
      <c r="H14" s="21">
        <v>2000</v>
      </c>
      <c r="I14" s="21" t="s">
        <v>302</v>
      </c>
      <c r="J14" s="21">
        <v>1000</v>
      </c>
      <c r="K14" s="21" t="s">
        <v>357</v>
      </c>
      <c r="L14" s="21">
        <v>1000</v>
      </c>
      <c r="M14" s="21" t="s">
        <v>411</v>
      </c>
      <c r="N14" s="21"/>
      <c r="O14" s="21"/>
      <c r="P14" s="21"/>
      <c r="Q14" s="21"/>
      <c r="R14" s="22"/>
      <c r="S14" s="22"/>
      <c r="T14" s="22"/>
      <c r="U14" s="22"/>
      <c r="V14" s="22"/>
      <c r="W14" s="22"/>
      <c r="X14" s="22"/>
      <c r="Y14" s="21">
        <f>F14+H14+J14+L14+N14+P14+R14+T14+V14</f>
        <v>4000</v>
      </c>
      <c r="Z14" s="36">
        <f t="shared" si="1"/>
        <v>4200</v>
      </c>
    </row>
    <row r="15" spans="1:26">
      <c r="A15" s="21">
        <v>12</v>
      </c>
      <c r="B15" s="22">
        <v>202501014</v>
      </c>
      <c r="C15" s="22" t="s">
        <v>188</v>
      </c>
      <c r="D15" s="22" t="s">
        <v>195</v>
      </c>
      <c r="E15" s="35">
        <f>8200</f>
        <v>8200</v>
      </c>
      <c r="F15" s="22"/>
      <c r="G15" s="22"/>
      <c r="H15" s="21">
        <v>2500</v>
      </c>
      <c r="I15" s="21" t="s">
        <v>346</v>
      </c>
      <c r="J15" s="21">
        <v>1700</v>
      </c>
      <c r="K15" s="21" t="s">
        <v>346</v>
      </c>
      <c r="L15" s="21">
        <v>2500</v>
      </c>
      <c r="M15" s="21" t="s">
        <v>420</v>
      </c>
      <c r="N15" s="21"/>
      <c r="O15" s="21"/>
      <c r="P15" s="21"/>
      <c r="Q15" s="21"/>
      <c r="R15" s="22"/>
      <c r="S15" s="22"/>
      <c r="T15" s="22"/>
      <c r="U15" s="22"/>
      <c r="V15" s="22"/>
      <c r="W15" s="22"/>
      <c r="X15" s="22"/>
      <c r="Y15" s="21">
        <f>F15+H15+J15+L15+N15+P15+R15+T15+V15</f>
        <v>6700</v>
      </c>
      <c r="Z15" s="36">
        <f t="shared" si="1"/>
        <v>1500</v>
      </c>
    </row>
    <row r="16" spans="1:26">
      <c r="A16" s="21">
        <v>13</v>
      </c>
      <c r="B16" s="22">
        <v>202501016</v>
      </c>
      <c r="C16" s="22" t="s">
        <v>196</v>
      </c>
      <c r="D16" s="22" t="s">
        <v>197</v>
      </c>
      <c r="E16" s="35">
        <f>8200</f>
        <v>8200</v>
      </c>
      <c r="F16" s="22"/>
      <c r="G16" s="22"/>
      <c r="H16" s="21"/>
      <c r="I16" s="21"/>
      <c r="J16" s="21"/>
      <c r="K16" s="21"/>
      <c r="L16" s="21">
        <v>4100</v>
      </c>
      <c r="M16" s="21" t="s">
        <v>347</v>
      </c>
      <c r="N16" s="21">
        <v>2000</v>
      </c>
      <c r="O16" s="21" t="s">
        <v>415</v>
      </c>
      <c r="P16" s="21"/>
      <c r="Q16" s="21"/>
      <c r="R16" s="22"/>
      <c r="S16" s="22"/>
      <c r="T16" s="22"/>
      <c r="U16" s="22"/>
      <c r="V16" s="22"/>
      <c r="W16" s="22"/>
      <c r="X16" s="22"/>
      <c r="Y16" s="21">
        <f>F16+H16+J16+L16+N16+P16+R16+T16+V16</f>
        <v>6100</v>
      </c>
      <c r="Z16" s="36">
        <f t="shared" si="1"/>
        <v>2100</v>
      </c>
    </row>
    <row r="17" spans="1:26">
      <c r="A17" s="21">
        <v>14</v>
      </c>
      <c r="B17" s="22">
        <v>202501017</v>
      </c>
      <c r="C17" s="22" t="s">
        <v>186</v>
      </c>
      <c r="D17" s="22" t="s">
        <v>198</v>
      </c>
      <c r="E17" s="35">
        <f>8200</f>
        <v>8200</v>
      </c>
      <c r="F17" s="22"/>
      <c r="G17" s="22"/>
      <c r="H17" s="21"/>
      <c r="I17" s="21"/>
      <c r="J17" s="21"/>
      <c r="K17" s="21"/>
      <c r="L17" s="21">
        <v>2000</v>
      </c>
      <c r="M17" s="21" t="s">
        <v>355</v>
      </c>
      <c r="N17" s="21">
        <v>3000</v>
      </c>
      <c r="O17" s="21" t="s">
        <v>424</v>
      </c>
      <c r="P17" s="21"/>
      <c r="Q17" s="21"/>
      <c r="R17" s="22"/>
      <c r="S17" s="22"/>
      <c r="T17" s="22"/>
      <c r="U17" s="22"/>
      <c r="V17" s="22"/>
      <c r="W17" s="22"/>
      <c r="X17" s="22"/>
      <c r="Y17" s="21">
        <f>F17+H17+J17+L17+N17+P17+R17+T17+V17</f>
        <v>5000</v>
      </c>
      <c r="Z17" s="36">
        <f t="shared" si="1"/>
        <v>3200</v>
      </c>
    </row>
    <row r="18" spans="1:26">
      <c r="A18" s="21">
        <v>15</v>
      </c>
      <c r="B18" s="22">
        <v>202501018</v>
      </c>
      <c r="C18" s="22" t="s">
        <v>199</v>
      </c>
      <c r="D18" s="22" t="s">
        <v>78</v>
      </c>
      <c r="E18" s="35">
        <f>8200</f>
        <v>8200</v>
      </c>
      <c r="F18" s="22"/>
      <c r="G18" s="22"/>
      <c r="H18" s="21">
        <v>2000</v>
      </c>
      <c r="I18" s="21" t="s">
        <v>72</v>
      </c>
      <c r="J18" s="21">
        <v>2000</v>
      </c>
      <c r="K18" s="21" t="s">
        <v>72</v>
      </c>
      <c r="L18" s="21">
        <v>2000</v>
      </c>
      <c r="M18" s="21" t="s">
        <v>416</v>
      </c>
      <c r="N18" s="21"/>
      <c r="O18" s="21"/>
      <c r="P18" s="21"/>
      <c r="Q18" s="21"/>
      <c r="R18" s="22"/>
      <c r="S18" s="22"/>
      <c r="T18" s="22"/>
      <c r="U18" s="22"/>
      <c r="V18" s="22"/>
      <c r="W18" s="22"/>
      <c r="X18" s="22"/>
      <c r="Y18" s="21">
        <f>F18+H18+J18+L18+N18+P18+R18+T18+V18</f>
        <v>6000</v>
      </c>
      <c r="Z18" s="36">
        <f t="shared" si="1"/>
        <v>2200</v>
      </c>
    </row>
    <row r="19" spans="1:26">
      <c r="A19" s="21">
        <v>16</v>
      </c>
      <c r="B19" s="22">
        <v>202501019</v>
      </c>
      <c r="C19" s="22" t="s">
        <v>22</v>
      </c>
      <c r="D19" s="22" t="s">
        <v>200</v>
      </c>
      <c r="E19" s="35">
        <f>8200</f>
        <v>8200</v>
      </c>
      <c r="F19" s="23"/>
      <c r="G19" s="22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2"/>
      <c r="S19" s="22"/>
      <c r="T19" s="22"/>
      <c r="U19" s="22"/>
      <c r="V19" s="22"/>
      <c r="W19" s="22"/>
      <c r="X19" s="22"/>
      <c r="Y19" s="21">
        <f>H19+J19+L19+N19+P19+R19+T19+V19</f>
        <v>0</v>
      </c>
      <c r="Z19" s="36">
        <f t="shared" si="1"/>
        <v>8200</v>
      </c>
    </row>
    <row r="20" spans="1:26">
      <c r="A20" s="21">
        <v>17</v>
      </c>
      <c r="B20" s="22">
        <v>202501020</v>
      </c>
      <c r="C20" s="22" t="s">
        <v>40</v>
      </c>
      <c r="D20" s="22" t="s">
        <v>201</v>
      </c>
      <c r="E20" s="35">
        <f>8200</f>
        <v>8200</v>
      </c>
      <c r="F20" s="22"/>
      <c r="G20" s="22"/>
      <c r="H20" s="21">
        <v>8200</v>
      </c>
      <c r="I20" s="21" t="s">
        <v>330</v>
      </c>
      <c r="J20" s="21"/>
      <c r="K20" s="21"/>
      <c r="L20" s="21"/>
      <c r="M20" s="21"/>
      <c r="N20" s="21"/>
      <c r="O20" s="21"/>
      <c r="P20" s="21"/>
      <c r="Q20" s="21"/>
      <c r="R20" s="22"/>
      <c r="S20" s="22"/>
      <c r="T20" s="22"/>
      <c r="U20" s="22"/>
      <c r="V20" s="22"/>
      <c r="W20" s="22"/>
      <c r="X20" s="22"/>
      <c r="Y20" s="21">
        <f t="shared" ref="Y20:Y42" si="2">F20+H20+J20+L20+N20+P20+R20+T20+V20</f>
        <v>8200</v>
      </c>
      <c r="Z20" s="36">
        <f t="shared" si="1"/>
        <v>0</v>
      </c>
    </row>
    <row r="21" spans="1:26">
      <c r="A21" s="21">
        <v>18</v>
      </c>
      <c r="B21" s="22">
        <v>202501021</v>
      </c>
      <c r="C21" s="22" t="s">
        <v>96</v>
      </c>
      <c r="D21" s="22" t="s">
        <v>61</v>
      </c>
      <c r="E21" s="35">
        <f>8200</f>
        <v>8200</v>
      </c>
      <c r="F21" s="22"/>
      <c r="G21" s="22"/>
      <c r="H21" s="21">
        <v>2000</v>
      </c>
      <c r="I21" s="21" t="s">
        <v>320</v>
      </c>
      <c r="J21" s="21">
        <v>2000</v>
      </c>
      <c r="K21" s="21" t="s">
        <v>346</v>
      </c>
      <c r="L21" s="21">
        <v>4200</v>
      </c>
      <c r="M21" s="21" t="s">
        <v>373</v>
      </c>
      <c r="N21" s="21"/>
      <c r="O21" s="21"/>
      <c r="P21" s="21"/>
      <c r="Q21" s="21"/>
      <c r="R21" s="22"/>
      <c r="S21" s="22"/>
      <c r="T21" s="22"/>
      <c r="U21" s="22"/>
      <c r="V21" s="22"/>
      <c r="W21" s="22"/>
      <c r="X21" s="22"/>
      <c r="Y21" s="21">
        <f t="shared" si="2"/>
        <v>8200</v>
      </c>
      <c r="Z21" s="36">
        <f t="shared" si="1"/>
        <v>0</v>
      </c>
    </row>
    <row r="22" spans="1:26">
      <c r="A22" s="21">
        <v>19</v>
      </c>
      <c r="B22" s="22">
        <v>202501022</v>
      </c>
      <c r="C22" s="22" t="s">
        <v>202</v>
      </c>
      <c r="D22" s="22" t="s">
        <v>52</v>
      </c>
      <c r="E22" s="35">
        <f>8200</f>
        <v>8200</v>
      </c>
      <c r="F22" s="22"/>
      <c r="G22" s="22"/>
      <c r="H22" s="21"/>
      <c r="I22" s="21"/>
      <c r="J22" s="21">
        <v>2000</v>
      </c>
      <c r="K22" s="21" t="s">
        <v>331</v>
      </c>
      <c r="L22" s="21">
        <v>2100</v>
      </c>
      <c r="M22" s="21" t="s">
        <v>345</v>
      </c>
      <c r="N22" s="21">
        <v>2000</v>
      </c>
      <c r="O22" s="21" t="s">
        <v>415</v>
      </c>
      <c r="P22" s="21"/>
      <c r="Q22" s="21"/>
      <c r="R22" s="22"/>
      <c r="S22" s="22"/>
      <c r="T22" s="22"/>
      <c r="U22" s="22"/>
      <c r="V22" s="22"/>
      <c r="W22" s="22"/>
      <c r="X22" s="22"/>
      <c r="Y22" s="21">
        <f t="shared" si="2"/>
        <v>6100</v>
      </c>
      <c r="Z22" s="36">
        <f t="shared" si="1"/>
        <v>2100</v>
      </c>
    </row>
    <row r="23" spans="1:26">
      <c r="A23" s="21">
        <v>20</v>
      </c>
      <c r="B23" s="22">
        <v>202501023</v>
      </c>
      <c r="C23" s="22" t="s">
        <v>111</v>
      </c>
      <c r="D23" s="22" t="s">
        <v>153</v>
      </c>
      <c r="E23" s="35">
        <f>8200</f>
        <v>8200</v>
      </c>
      <c r="F23" s="22"/>
      <c r="G23" s="22"/>
      <c r="H23" s="21">
        <v>1000</v>
      </c>
      <c r="I23" s="21" t="s">
        <v>313</v>
      </c>
      <c r="J23" s="21">
        <v>1000</v>
      </c>
      <c r="K23" s="21" t="s">
        <v>351</v>
      </c>
      <c r="L23" s="21">
        <v>4000</v>
      </c>
      <c r="M23" s="21" t="s">
        <v>351</v>
      </c>
      <c r="N23" s="21">
        <v>1200</v>
      </c>
      <c r="O23" s="21" t="s">
        <v>396</v>
      </c>
      <c r="P23" s="21"/>
      <c r="Q23" s="21"/>
      <c r="R23" s="22"/>
      <c r="S23" s="22"/>
      <c r="T23" s="22"/>
      <c r="U23" s="22"/>
      <c r="V23" s="22"/>
      <c r="W23" s="22"/>
      <c r="X23" s="22"/>
      <c r="Y23" s="21">
        <f t="shared" si="2"/>
        <v>7200</v>
      </c>
      <c r="Z23" s="36">
        <f t="shared" si="1"/>
        <v>1000</v>
      </c>
    </row>
    <row r="24" spans="1:26">
      <c r="A24" s="21">
        <v>21</v>
      </c>
      <c r="B24" s="22">
        <v>202501024</v>
      </c>
      <c r="C24" s="22" t="s">
        <v>41</v>
      </c>
      <c r="D24" s="22" t="s">
        <v>203</v>
      </c>
      <c r="E24" s="35">
        <f>8200</f>
        <v>8200</v>
      </c>
      <c r="F24" s="22"/>
      <c r="G24" s="22"/>
      <c r="H24" s="21"/>
      <c r="I24" s="21"/>
      <c r="J24" s="21">
        <v>4000</v>
      </c>
      <c r="K24" s="21" t="s">
        <v>346</v>
      </c>
      <c r="L24" s="21"/>
      <c r="M24" s="21"/>
      <c r="N24" s="21"/>
      <c r="O24" s="21"/>
      <c r="P24" s="21"/>
      <c r="Q24" s="21"/>
      <c r="R24" s="22"/>
      <c r="S24" s="22"/>
      <c r="T24" s="22"/>
      <c r="U24" s="22"/>
      <c r="V24" s="22"/>
      <c r="W24" s="22"/>
      <c r="X24" s="22"/>
      <c r="Y24" s="21">
        <f t="shared" si="2"/>
        <v>4000</v>
      </c>
      <c r="Z24" s="36">
        <f t="shared" si="1"/>
        <v>4200</v>
      </c>
    </row>
    <row r="25" spans="1:26">
      <c r="A25" s="21">
        <v>22</v>
      </c>
      <c r="B25" s="22">
        <v>202501025</v>
      </c>
      <c r="C25" s="22" t="s">
        <v>204</v>
      </c>
      <c r="D25" s="22" t="s">
        <v>205</v>
      </c>
      <c r="E25" s="35">
        <f>8200</f>
        <v>8200</v>
      </c>
      <c r="F25" s="22"/>
      <c r="G25" s="22"/>
      <c r="H25" s="21"/>
      <c r="I25" s="21"/>
      <c r="J25" s="21"/>
      <c r="K25" s="21"/>
      <c r="L25" s="21">
        <v>4100</v>
      </c>
      <c r="M25" s="21" t="s">
        <v>347</v>
      </c>
      <c r="N25" s="21"/>
      <c r="O25" s="21"/>
      <c r="P25" s="21"/>
      <c r="Q25" s="21"/>
      <c r="R25" s="22"/>
      <c r="S25" s="22"/>
      <c r="T25" s="22"/>
      <c r="U25" s="22"/>
      <c r="V25" s="22"/>
      <c r="W25" s="22"/>
      <c r="X25" s="22"/>
      <c r="Y25" s="21">
        <f t="shared" si="2"/>
        <v>4100</v>
      </c>
      <c r="Z25" s="36">
        <f t="shared" si="1"/>
        <v>4100</v>
      </c>
    </row>
    <row r="26" spans="1:26">
      <c r="A26" s="21">
        <v>23</v>
      </c>
      <c r="B26" s="22">
        <v>202501026</v>
      </c>
      <c r="C26" s="22" t="s">
        <v>188</v>
      </c>
      <c r="D26" s="22" t="s">
        <v>13</v>
      </c>
      <c r="E26" s="35">
        <f>8200</f>
        <v>8200</v>
      </c>
      <c r="F26" s="22"/>
      <c r="G26" s="22"/>
      <c r="H26" s="21"/>
      <c r="I26" s="21"/>
      <c r="J26" s="21"/>
      <c r="K26" s="21"/>
      <c r="L26" s="21">
        <v>3500</v>
      </c>
      <c r="M26" s="21" t="s">
        <v>347</v>
      </c>
      <c r="N26" s="21">
        <v>2000</v>
      </c>
      <c r="O26" s="21" t="s">
        <v>347</v>
      </c>
      <c r="P26" s="21">
        <v>650</v>
      </c>
      <c r="Q26" s="21" t="s">
        <v>407</v>
      </c>
      <c r="R26" s="22"/>
      <c r="S26" s="22"/>
      <c r="T26" s="22"/>
      <c r="U26" s="22"/>
      <c r="V26" s="22"/>
      <c r="W26" s="22"/>
      <c r="X26" s="22"/>
      <c r="Y26" s="21">
        <f t="shared" si="2"/>
        <v>6150</v>
      </c>
      <c r="Z26" s="36">
        <f t="shared" si="1"/>
        <v>2050</v>
      </c>
    </row>
    <row r="27" spans="1:26">
      <c r="A27" s="21">
        <v>24</v>
      </c>
      <c r="B27" s="22">
        <v>202501027</v>
      </c>
      <c r="C27" s="22" t="s">
        <v>141</v>
      </c>
      <c r="D27" s="22" t="s">
        <v>206</v>
      </c>
      <c r="E27" s="35">
        <f>8200</f>
        <v>8200</v>
      </c>
      <c r="F27" s="22"/>
      <c r="G27" s="22"/>
      <c r="H27" s="21">
        <v>3000</v>
      </c>
      <c r="I27" s="21" t="s">
        <v>299</v>
      </c>
      <c r="J27" s="21">
        <v>1400</v>
      </c>
      <c r="K27" s="21" t="s">
        <v>349</v>
      </c>
      <c r="L27" s="21"/>
      <c r="M27" s="21"/>
      <c r="N27" s="21"/>
      <c r="O27" s="21"/>
      <c r="P27" s="21"/>
      <c r="Q27" s="21"/>
      <c r="R27" s="22"/>
      <c r="S27" s="22"/>
      <c r="T27" s="22"/>
      <c r="U27" s="22"/>
      <c r="V27" s="22"/>
      <c r="W27" s="22"/>
      <c r="X27" s="22"/>
      <c r="Y27" s="21">
        <f t="shared" si="2"/>
        <v>4400</v>
      </c>
      <c r="Z27" s="36">
        <f t="shared" si="1"/>
        <v>3800</v>
      </c>
    </row>
    <row r="28" spans="1:26">
      <c r="A28" s="21">
        <v>25</v>
      </c>
      <c r="B28" s="22">
        <v>202501028</v>
      </c>
      <c r="C28" s="22" t="s">
        <v>144</v>
      </c>
      <c r="D28" s="22" t="s">
        <v>207</v>
      </c>
      <c r="E28" s="35">
        <f>8200</f>
        <v>8200</v>
      </c>
      <c r="F28" s="22"/>
      <c r="G28" s="22"/>
      <c r="H28" s="21"/>
      <c r="I28" s="21"/>
      <c r="J28" s="21">
        <v>3000</v>
      </c>
      <c r="K28" s="21" t="s">
        <v>326</v>
      </c>
      <c r="L28" s="21">
        <v>2000</v>
      </c>
      <c r="M28" s="21" t="s">
        <v>411</v>
      </c>
      <c r="N28" s="21">
        <v>1000</v>
      </c>
      <c r="O28" s="21" t="s">
        <v>414</v>
      </c>
      <c r="P28" s="21"/>
      <c r="Q28" s="21"/>
      <c r="R28" s="22"/>
      <c r="S28" s="22"/>
      <c r="T28" s="22"/>
      <c r="U28" s="22"/>
      <c r="V28" s="22"/>
      <c r="W28" s="22"/>
      <c r="X28" s="22"/>
      <c r="Y28" s="21">
        <f t="shared" si="2"/>
        <v>6000</v>
      </c>
      <c r="Z28" s="36">
        <f t="shared" si="1"/>
        <v>2200</v>
      </c>
    </row>
    <row r="29" spans="1:26">
      <c r="A29" s="21">
        <v>26</v>
      </c>
      <c r="B29" s="22">
        <v>202501029</v>
      </c>
      <c r="C29" s="22" t="s">
        <v>208</v>
      </c>
      <c r="D29" s="22" t="s">
        <v>209</v>
      </c>
      <c r="E29" s="35">
        <f>8200</f>
        <v>8200</v>
      </c>
      <c r="F29" s="22"/>
      <c r="G29" s="22"/>
      <c r="H29" s="21">
        <v>2000</v>
      </c>
      <c r="I29" s="21" t="s">
        <v>307</v>
      </c>
      <c r="J29" s="21"/>
      <c r="K29" s="21"/>
      <c r="L29" s="21"/>
      <c r="M29" s="21"/>
      <c r="N29" s="21"/>
      <c r="O29" s="21"/>
      <c r="P29" s="21"/>
      <c r="Q29" s="21"/>
      <c r="R29" s="22"/>
      <c r="S29" s="22"/>
      <c r="T29" s="22"/>
      <c r="U29" s="22"/>
      <c r="V29" s="22"/>
      <c r="W29" s="22"/>
      <c r="X29" s="22"/>
      <c r="Y29" s="21">
        <f t="shared" si="2"/>
        <v>2000</v>
      </c>
      <c r="Z29" s="36">
        <f t="shared" si="1"/>
        <v>6200</v>
      </c>
    </row>
    <row r="30" spans="1:26">
      <c r="A30" s="21">
        <v>27</v>
      </c>
      <c r="B30" s="22">
        <v>202501030</v>
      </c>
      <c r="C30" s="22" t="s">
        <v>210</v>
      </c>
      <c r="D30" s="22" t="s">
        <v>211</v>
      </c>
      <c r="E30" s="35">
        <f>8200</f>
        <v>8200</v>
      </c>
      <c r="F30" s="22"/>
      <c r="G30" s="22"/>
      <c r="H30" s="21">
        <v>4000</v>
      </c>
      <c r="I30" s="21" t="s">
        <v>345</v>
      </c>
      <c r="J30" s="21"/>
      <c r="K30" s="21"/>
      <c r="L30" s="21"/>
      <c r="M30" s="21"/>
      <c r="N30" s="21"/>
      <c r="O30" s="21"/>
      <c r="P30" s="21"/>
      <c r="Q30" s="21"/>
      <c r="R30" s="22"/>
      <c r="S30" s="22"/>
      <c r="T30" s="22"/>
      <c r="U30" s="22"/>
      <c r="V30" s="22"/>
      <c r="W30" s="22"/>
      <c r="X30" s="22"/>
      <c r="Y30" s="21">
        <f t="shared" si="2"/>
        <v>4000</v>
      </c>
      <c r="Z30" s="36">
        <f t="shared" si="1"/>
        <v>4200</v>
      </c>
    </row>
    <row r="31" spans="1:26">
      <c r="A31" s="21">
        <v>28</v>
      </c>
      <c r="B31" s="22">
        <v>202501031</v>
      </c>
      <c r="C31" s="22" t="s">
        <v>212</v>
      </c>
      <c r="D31" s="22" t="s">
        <v>52</v>
      </c>
      <c r="E31" s="35">
        <f>8200</f>
        <v>8200</v>
      </c>
      <c r="F31" s="22"/>
      <c r="G31" s="22"/>
      <c r="H31" s="21"/>
      <c r="I31" s="21"/>
      <c r="J31" s="21">
        <v>5000</v>
      </c>
      <c r="K31" s="21" t="s">
        <v>346</v>
      </c>
      <c r="L31" s="21"/>
      <c r="M31" s="21"/>
      <c r="N31" s="21"/>
      <c r="O31" s="21"/>
      <c r="P31" s="21"/>
      <c r="Q31" s="21"/>
      <c r="R31" s="22"/>
      <c r="S31" s="22"/>
      <c r="T31" s="22"/>
      <c r="U31" s="22"/>
      <c r="V31" s="22"/>
      <c r="W31" s="22"/>
      <c r="X31" s="22"/>
      <c r="Y31" s="21">
        <f t="shared" si="2"/>
        <v>5000</v>
      </c>
      <c r="Z31" s="36">
        <f t="shared" si="1"/>
        <v>3200</v>
      </c>
    </row>
    <row r="32" spans="1:26">
      <c r="A32" s="21">
        <v>29</v>
      </c>
      <c r="B32" s="22">
        <v>202501032</v>
      </c>
      <c r="C32" s="22" t="s">
        <v>213</v>
      </c>
      <c r="D32" s="22" t="s">
        <v>214</v>
      </c>
      <c r="E32" s="35">
        <f>8200</f>
        <v>8200</v>
      </c>
      <c r="F32" s="22"/>
      <c r="G32" s="22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2"/>
      <c r="S32" s="22"/>
      <c r="T32" s="22"/>
      <c r="U32" s="22"/>
      <c r="V32" s="22"/>
      <c r="W32" s="22"/>
      <c r="X32" s="22"/>
      <c r="Y32" s="21">
        <f t="shared" si="2"/>
        <v>0</v>
      </c>
      <c r="Z32" s="36">
        <f t="shared" si="1"/>
        <v>8200</v>
      </c>
    </row>
    <row r="33" spans="1:26">
      <c r="A33" s="21">
        <v>30</v>
      </c>
      <c r="B33" s="22">
        <v>202501034</v>
      </c>
      <c r="C33" s="22" t="s">
        <v>215</v>
      </c>
      <c r="D33" s="22" t="s">
        <v>73</v>
      </c>
      <c r="E33" s="35">
        <f>8200</f>
        <v>8200</v>
      </c>
      <c r="F33" s="22"/>
      <c r="G33" s="22"/>
      <c r="H33" s="21">
        <v>4000</v>
      </c>
      <c r="I33" s="21" t="s">
        <v>318</v>
      </c>
      <c r="J33" s="21"/>
      <c r="K33" s="21"/>
      <c r="L33" s="21">
        <v>2000</v>
      </c>
      <c r="M33" s="21" t="s">
        <v>407</v>
      </c>
      <c r="N33" s="21"/>
      <c r="O33" s="21"/>
      <c r="P33" s="21"/>
      <c r="Q33" s="21"/>
      <c r="R33" s="22"/>
      <c r="S33" s="22"/>
      <c r="T33" s="22"/>
      <c r="U33" s="22"/>
      <c r="V33" s="22"/>
      <c r="W33" s="22"/>
      <c r="X33" s="22"/>
      <c r="Y33" s="21">
        <f t="shared" si="2"/>
        <v>6000</v>
      </c>
      <c r="Z33" s="36">
        <f t="shared" si="1"/>
        <v>2200</v>
      </c>
    </row>
    <row r="34" spans="1:26">
      <c r="A34" s="21">
        <v>31</v>
      </c>
      <c r="B34" s="22">
        <v>202501035</v>
      </c>
      <c r="C34" s="22" t="s">
        <v>216</v>
      </c>
      <c r="D34" s="22" t="s">
        <v>217</v>
      </c>
      <c r="E34" s="35">
        <f>8200</f>
        <v>8200</v>
      </c>
      <c r="F34" s="22"/>
      <c r="G34" s="22"/>
      <c r="H34" s="21"/>
      <c r="I34" s="21"/>
      <c r="J34" s="21">
        <v>3000</v>
      </c>
      <c r="K34" s="21" t="s">
        <v>329</v>
      </c>
      <c r="L34" s="21"/>
      <c r="M34" s="21"/>
      <c r="N34" s="21"/>
      <c r="O34" s="21"/>
      <c r="P34" s="21"/>
      <c r="Q34" s="21"/>
      <c r="R34" s="22"/>
      <c r="S34" s="22"/>
      <c r="T34" s="22"/>
      <c r="U34" s="22"/>
      <c r="V34" s="22"/>
      <c r="W34" s="22"/>
      <c r="X34" s="22"/>
      <c r="Y34" s="21">
        <f t="shared" si="2"/>
        <v>3000</v>
      </c>
      <c r="Z34" s="36">
        <f t="shared" si="1"/>
        <v>5200</v>
      </c>
    </row>
    <row r="35" spans="1:26">
      <c r="A35" s="21">
        <v>32</v>
      </c>
      <c r="B35" s="22">
        <v>202501036</v>
      </c>
      <c r="C35" s="22" t="s">
        <v>218</v>
      </c>
      <c r="D35" s="22" t="s">
        <v>219</v>
      </c>
      <c r="E35" s="35">
        <f>8200</f>
        <v>8200</v>
      </c>
      <c r="F35" s="22"/>
      <c r="G35" s="22"/>
      <c r="H35" s="21">
        <v>2000</v>
      </c>
      <c r="I35" s="21" t="s">
        <v>303</v>
      </c>
      <c r="J35" s="21"/>
      <c r="K35" s="21"/>
      <c r="L35" s="21">
        <v>2100</v>
      </c>
      <c r="M35" s="21" t="s">
        <v>345</v>
      </c>
      <c r="N35" s="21">
        <v>2050</v>
      </c>
      <c r="O35" s="21" t="s">
        <v>372</v>
      </c>
      <c r="P35" s="21"/>
      <c r="Q35" s="21"/>
      <c r="R35" s="22"/>
      <c r="S35" s="22"/>
      <c r="T35" s="22"/>
      <c r="U35" s="22"/>
      <c r="V35" s="22"/>
      <c r="W35" s="22"/>
      <c r="X35" s="22"/>
      <c r="Y35" s="21">
        <f t="shared" si="2"/>
        <v>6150</v>
      </c>
      <c r="Z35" s="36">
        <f t="shared" si="1"/>
        <v>2050</v>
      </c>
    </row>
    <row r="36" spans="1:26">
      <c r="A36" s="21">
        <v>33</v>
      </c>
      <c r="B36" s="22">
        <v>202501037</v>
      </c>
      <c r="C36" s="22" t="s">
        <v>220</v>
      </c>
      <c r="D36" s="22" t="s">
        <v>221</v>
      </c>
      <c r="E36" s="35">
        <f>8200</f>
        <v>8200</v>
      </c>
      <c r="F36" s="22"/>
      <c r="G36" s="22"/>
      <c r="H36" s="21"/>
      <c r="I36" s="21"/>
      <c r="J36" s="21"/>
      <c r="K36" s="21"/>
      <c r="L36" s="21">
        <v>4000</v>
      </c>
      <c r="M36" s="21" t="s">
        <v>347</v>
      </c>
      <c r="N36" s="21">
        <v>100</v>
      </c>
      <c r="O36" s="21" t="s">
        <v>347</v>
      </c>
      <c r="P36" s="21">
        <v>2000</v>
      </c>
      <c r="Q36" s="21"/>
      <c r="R36" s="22"/>
      <c r="S36" s="22"/>
      <c r="T36" s="22"/>
      <c r="U36" s="22"/>
      <c r="V36" s="22"/>
      <c r="W36" s="22"/>
      <c r="X36" s="22"/>
      <c r="Y36" s="21">
        <f t="shared" si="2"/>
        <v>6100</v>
      </c>
      <c r="Z36" s="36">
        <f t="shared" si="1"/>
        <v>2100</v>
      </c>
    </row>
    <row r="37" spans="1:26">
      <c r="A37" s="21">
        <v>34</v>
      </c>
      <c r="B37" s="22">
        <v>202501038</v>
      </c>
      <c r="C37" s="22" t="s">
        <v>222</v>
      </c>
      <c r="D37" s="22" t="s">
        <v>223</v>
      </c>
      <c r="E37" s="35">
        <f>8200</f>
        <v>8200</v>
      </c>
      <c r="F37" s="22"/>
      <c r="G37" s="22"/>
      <c r="H37" s="21"/>
      <c r="I37" s="21"/>
      <c r="J37" s="21"/>
      <c r="K37" s="21"/>
      <c r="L37" s="21">
        <v>2000</v>
      </c>
      <c r="M37" s="21" t="s">
        <v>347</v>
      </c>
      <c r="N37" s="21">
        <v>3000</v>
      </c>
      <c r="O37" s="21" t="s">
        <v>401</v>
      </c>
      <c r="P37" s="21">
        <v>500</v>
      </c>
      <c r="Q37" s="21" t="s">
        <v>412</v>
      </c>
      <c r="R37" s="22"/>
      <c r="S37" s="22"/>
      <c r="T37" s="22"/>
      <c r="U37" s="22"/>
      <c r="V37" s="22"/>
      <c r="W37" s="22"/>
      <c r="X37" s="22"/>
      <c r="Y37" s="21">
        <f t="shared" si="2"/>
        <v>5500</v>
      </c>
      <c r="Z37" s="36">
        <f t="shared" si="1"/>
        <v>2700</v>
      </c>
    </row>
    <row r="38" spans="1:26">
      <c r="A38" s="21">
        <v>35</v>
      </c>
      <c r="B38" s="22">
        <v>202501039</v>
      </c>
      <c r="C38" s="22" t="s">
        <v>224</v>
      </c>
      <c r="D38" s="22" t="s">
        <v>225</v>
      </c>
      <c r="E38" s="35">
        <f>8200</f>
        <v>8200</v>
      </c>
      <c r="F38" s="22"/>
      <c r="G38" s="22"/>
      <c r="H38" s="21">
        <v>12200</v>
      </c>
      <c r="I38" s="21" t="s">
        <v>299</v>
      </c>
      <c r="J38" s="21"/>
      <c r="K38" s="21"/>
      <c r="L38" s="21"/>
      <c r="M38" s="21"/>
      <c r="N38" s="21"/>
      <c r="O38" s="21"/>
      <c r="P38" s="21"/>
      <c r="Q38" s="21"/>
      <c r="R38" s="22"/>
      <c r="S38" s="22"/>
      <c r="T38" s="22"/>
      <c r="U38" s="22"/>
      <c r="V38" s="22"/>
      <c r="W38" s="22"/>
      <c r="X38" s="22"/>
      <c r="Y38" s="21">
        <f t="shared" si="2"/>
        <v>12200</v>
      </c>
      <c r="Z38" s="36">
        <f t="shared" si="1"/>
        <v>-4000</v>
      </c>
    </row>
    <row r="39" spans="1:26">
      <c r="A39" s="21">
        <v>36</v>
      </c>
      <c r="B39" s="22">
        <v>202501040</v>
      </c>
      <c r="C39" s="22" t="s">
        <v>226</v>
      </c>
      <c r="D39" s="22" t="s">
        <v>227</v>
      </c>
      <c r="E39" s="35">
        <f>8200</f>
        <v>8200</v>
      </c>
      <c r="F39" s="22"/>
      <c r="G39" s="22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2"/>
      <c r="S39" s="22"/>
      <c r="T39" s="22"/>
      <c r="U39" s="22"/>
      <c r="V39" s="22"/>
      <c r="W39" s="22"/>
      <c r="X39" s="22"/>
      <c r="Y39" s="21">
        <f t="shared" si="2"/>
        <v>0</v>
      </c>
      <c r="Z39" s="36">
        <f t="shared" si="1"/>
        <v>8200</v>
      </c>
    </row>
    <row r="40" spans="1:26">
      <c r="A40" s="21">
        <v>37</v>
      </c>
      <c r="B40" s="22">
        <v>202501041</v>
      </c>
      <c r="C40" s="22" t="s">
        <v>228</v>
      </c>
      <c r="D40" s="22" t="s">
        <v>71</v>
      </c>
      <c r="E40" s="35">
        <f>8200</f>
        <v>8200</v>
      </c>
      <c r="F40" s="22"/>
      <c r="G40" s="22"/>
      <c r="H40" s="21"/>
      <c r="I40" s="21"/>
      <c r="J40" s="21">
        <v>1000</v>
      </c>
      <c r="K40" s="21" t="s">
        <v>331</v>
      </c>
      <c r="L40" s="21">
        <v>4700</v>
      </c>
      <c r="M40" s="21" t="s">
        <v>345</v>
      </c>
      <c r="N40" s="21">
        <v>400</v>
      </c>
      <c r="O40" s="21" t="s">
        <v>376</v>
      </c>
      <c r="P40" s="21"/>
      <c r="Q40" s="21"/>
      <c r="R40" s="22"/>
      <c r="S40" s="22"/>
      <c r="T40" s="22"/>
      <c r="U40" s="22"/>
      <c r="V40" s="22"/>
      <c r="W40" s="22"/>
      <c r="X40" s="22"/>
      <c r="Y40" s="21">
        <f t="shared" si="2"/>
        <v>6100</v>
      </c>
      <c r="Z40" s="36">
        <f t="shared" si="1"/>
        <v>2100</v>
      </c>
    </row>
    <row r="41" spans="1:26">
      <c r="A41" s="21">
        <v>38</v>
      </c>
      <c r="B41" s="22">
        <v>202501042</v>
      </c>
      <c r="C41" s="22" t="s">
        <v>20</v>
      </c>
      <c r="D41" s="22" t="s">
        <v>229</v>
      </c>
      <c r="E41" s="35">
        <f>8200</f>
        <v>8200</v>
      </c>
      <c r="F41" s="22"/>
      <c r="G41" s="22"/>
      <c r="H41" s="21">
        <v>800</v>
      </c>
      <c r="I41" s="21" t="s">
        <v>258</v>
      </c>
      <c r="J41" s="21"/>
      <c r="K41" s="21"/>
      <c r="L41" s="21"/>
      <c r="M41" s="21"/>
      <c r="N41" s="21"/>
      <c r="O41" s="21"/>
      <c r="P41" s="21"/>
      <c r="Q41" s="21"/>
      <c r="R41" s="22"/>
      <c r="S41" s="22"/>
      <c r="T41" s="22"/>
      <c r="U41" s="22"/>
      <c r="V41" s="22"/>
      <c r="W41" s="22"/>
      <c r="X41" s="22"/>
      <c r="Y41" s="21">
        <f t="shared" si="2"/>
        <v>800</v>
      </c>
      <c r="Z41" s="36">
        <f t="shared" si="1"/>
        <v>7400</v>
      </c>
    </row>
    <row r="42" spans="1:26">
      <c r="A42" s="21">
        <v>39</v>
      </c>
      <c r="B42" s="22">
        <v>202501043</v>
      </c>
      <c r="C42" s="22" t="s">
        <v>230</v>
      </c>
      <c r="D42" s="22" t="s">
        <v>231</v>
      </c>
      <c r="E42" s="35">
        <f>8200</f>
        <v>8200</v>
      </c>
      <c r="F42" s="22"/>
      <c r="G42" s="22"/>
      <c r="H42" s="21">
        <v>4000</v>
      </c>
      <c r="I42" s="21" t="s">
        <v>312</v>
      </c>
      <c r="J42" s="21"/>
      <c r="K42" s="21"/>
      <c r="L42" s="21">
        <v>2500</v>
      </c>
      <c r="M42" s="21" t="s">
        <v>391</v>
      </c>
      <c r="N42" s="21"/>
      <c r="O42" s="21"/>
      <c r="P42" s="21"/>
      <c r="Q42" s="21"/>
      <c r="R42" s="22"/>
      <c r="S42" s="22"/>
      <c r="T42" s="22"/>
      <c r="U42" s="22"/>
      <c r="V42" s="22"/>
      <c r="W42" s="22"/>
      <c r="X42" s="22"/>
      <c r="Y42" s="21">
        <f t="shared" si="2"/>
        <v>6500</v>
      </c>
      <c r="Z42" s="36">
        <f t="shared" si="1"/>
        <v>1700</v>
      </c>
    </row>
  </sheetData>
  <pageMargins left="0.7" right="0.7" top="0.75" bottom="0.75" header="0.3" footer="0.3"/>
  <ignoredErrors>
    <ignoredError sqref="Y19 Y13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21"/>
  <sheetViews>
    <sheetView workbookViewId="0">
      <selection activeCell="Y11" sqref="Y11"/>
    </sheetView>
  </sheetViews>
  <sheetFormatPr defaultRowHeight="15"/>
  <cols>
    <col min="1" max="1" width="5.5" style="8" customWidth="1"/>
    <col min="2" max="2" width="16.75" style="8" customWidth="1"/>
    <col min="3" max="3" width="15.125" style="7" customWidth="1"/>
    <col min="4" max="4" width="16.75" style="7" customWidth="1"/>
    <col min="5" max="5" width="13.75" style="7" bestFit="1" customWidth="1"/>
    <col min="6" max="6" width="9.125" style="7" bestFit="1" customWidth="1"/>
    <col min="7" max="7" width="9" style="7"/>
    <col min="8" max="8" width="9.125" style="7" bestFit="1" customWidth="1"/>
    <col min="9" max="9" width="9" style="7"/>
    <col min="10" max="10" width="9.125" style="7" bestFit="1" customWidth="1"/>
    <col min="11" max="11" width="9" style="7"/>
    <col min="12" max="12" width="9.125" style="7" bestFit="1" customWidth="1"/>
    <col min="13" max="13" width="9" style="7"/>
    <col min="14" max="14" width="9.125" style="7" bestFit="1" customWidth="1"/>
    <col min="15" max="15" width="9" style="7"/>
    <col min="16" max="16" width="9.125" style="7" bestFit="1" customWidth="1"/>
    <col min="17" max="21" width="9" style="7"/>
    <col min="22" max="22" width="14.125" style="8" customWidth="1"/>
    <col min="23" max="23" width="12.375" style="8" bestFit="1" customWidth="1"/>
    <col min="24" max="16384" width="9" style="7"/>
  </cols>
  <sheetData>
    <row r="2" spans="1:23">
      <c r="B2" s="9"/>
      <c r="C2" s="37" t="s">
        <v>0</v>
      </c>
      <c r="D2" s="4"/>
      <c r="E2" s="38"/>
    </row>
    <row r="3" spans="1:23">
      <c r="B3" s="9"/>
      <c r="C3" s="4"/>
      <c r="D3" s="4" t="s">
        <v>232</v>
      </c>
    </row>
    <row r="4" spans="1:23">
      <c r="A4" s="12"/>
      <c r="B4" s="12" t="s">
        <v>233</v>
      </c>
      <c r="C4" s="13" t="s">
        <v>3</v>
      </c>
      <c r="D4" s="13" t="s">
        <v>177</v>
      </c>
      <c r="E4" s="13" t="s">
        <v>5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2" t="s">
        <v>297</v>
      </c>
      <c r="W4" s="12" t="s">
        <v>261</v>
      </c>
    </row>
    <row r="5" spans="1:23">
      <c r="A5" s="16">
        <v>1</v>
      </c>
      <c r="B5" s="16">
        <v>202507001</v>
      </c>
      <c r="C5" s="11" t="s">
        <v>235</v>
      </c>
      <c r="D5" s="11" t="s">
        <v>236</v>
      </c>
      <c r="E5" s="11">
        <v>8200</v>
      </c>
      <c r="F5" s="11"/>
      <c r="G5" s="11"/>
      <c r="H5" s="11">
        <v>2200</v>
      </c>
      <c r="I5" s="11" t="s">
        <v>320</v>
      </c>
      <c r="J5" s="11">
        <v>1500</v>
      </c>
      <c r="K5" s="11" t="s">
        <v>400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6">
        <f>F5+H5+J5+L5+N5+P5+R5+T5</f>
        <v>3700</v>
      </c>
      <c r="W5" s="16">
        <f>E5-V5</f>
        <v>4500</v>
      </c>
    </row>
    <row r="6" spans="1:23">
      <c r="A6" s="16">
        <v>2</v>
      </c>
      <c r="B6" s="16">
        <v>202507003</v>
      </c>
      <c r="C6" s="11" t="s">
        <v>237</v>
      </c>
      <c r="D6" s="11" t="s">
        <v>78</v>
      </c>
      <c r="E6" s="11">
        <v>8200</v>
      </c>
      <c r="F6" s="11"/>
      <c r="G6" s="11"/>
      <c r="H6" s="11">
        <v>3000</v>
      </c>
      <c r="I6" s="11" t="s">
        <v>415</v>
      </c>
      <c r="J6" s="11">
        <v>3000</v>
      </c>
      <c r="K6" s="11" t="s">
        <v>415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6">
        <f t="shared" ref="V6:V20" si="0">F6+H6+J6+L6+N6+P6+R6+T6</f>
        <v>6000</v>
      </c>
      <c r="W6" s="16">
        <f t="shared" ref="W6:W20" si="1">E6-V6</f>
        <v>2200</v>
      </c>
    </row>
    <row r="7" spans="1:23">
      <c r="A7" s="16">
        <v>3</v>
      </c>
      <c r="B7" s="16">
        <v>202507005</v>
      </c>
      <c r="C7" s="11" t="s">
        <v>239</v>
      </c>
      <c r="D7" s="11" t="s">
        <v>20</v>
      </c>
      <c r="E7" s="11">
        <v>8200</v>
      </c>
      <c r="F7" s="11"/>
      <c r="G7" s="11"/>
      <c r="H7" s="11">
        <v>4000</v>
      </c>
      <c r="I7" s="11" t="s">
        <v>257</v>
      </c>
      <c r="J7" s="11">
        <v>2100</v>
      </c>
      <c r="K7" s="11" t="s">
        <v>401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6">
        <f t="shared" si="0"/>
        <v>6100</v>
      </c>
      <c r="W7" s="16">
        <f t="shared" si="1"/>
        <v>2100</v>
      </c>
    </row>
    <row r="8" spans="1:23">
      <c r="A8" s="16">
        <v>4</v>
      </c>
      <c r="B8" s="16">
        <v>202507006</v>
      </c>
      <c r="C8" s="11" t="s">
        <v>240</v>
      </c>
      <c r="D8" s="11" t="s">
        <v>241</v>
      </c>
      <c r="E8" s="11">
        <v>8200</v>
      </c>
      <c r="F8" s="11"/>
      <c r="G8" s="11"/>
      <c r="H8" s="11">
        <v>4000</v>
      </c>
      <c r="I8" s="11" t="s">
        <v>319</v>
      </c>
      <c r="J8" s="11">
        <v>4000</v>
      </c>
      <c r="K8" s="11" t="s">
        <v>318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6">
        <f t="shared" si="0"/>
        <v>8000</v>
      </c>
      <c r="W8" s="16">
        <f t="shared" si="1"/>
        <v>200</v>
      </c>
    </row>
    <row r="9" spans="1:23">
      <c r="A9" s="16">
        <v>5</v>
      </c>
      <c r="B9" s="16">
        <v>202507007</v>
      </c>
      <c r="C9" s="11" t="s">
        <v>196</v>
      </c>
      <c r="D9" s="11" t="s">
        <v>52</v>
      </c>
      <c r="E9" s="11">
        <v>8200</v>
      </c>
      <c r="F9" s="11"/>
      <c r="G9" s="11"/>
      <c r="H9" s="11">
        <v>2200</v>
      </c>
      <c r="I9" s="11" t="s">
        <v>302</v>
      </c>
      <c r="J9" s="11">
        <v>2000</v>
      </c>
      <c r="K9" s="11" t="s">
        <v>331</v>
      </c>
      <c r="L9" s="11">
        <v>2000</v>
      </c>
      <c r="M9" s="11" t="s">
        <v>395</v>
      </c>
      <c r="N9" s="11"/>
      <c r="O9" s="11"/>
      <c r="P9" s="11"/>
      <c r="Q9" s="11"/>
      <c r="R9" s="11"/>
      <c r="S9" s="11"/>
      <c r="T9" s="11"/>
      <c r="U9" s="11"/>
      <c r="V9" s="16">
        <f t="shared" si="0"/>
        <v>6200</v>
      </c>
      <c r="W9" s="16">
        <f t="shared" si="1"/>
        <v>2000</v>
      </c>
    </row>
    <row r="10" spans="1:23">
      <c r="A10" s="16">
        <v>6</v>
      </c>
      <c r="B10" s="16">
        <v>202507008</v>
      </c>
      <c r="C10" s="11" t="s">
        <v>242</v>
      </c>
      <c r="D10" s="11" t="s">
        <v>243</v>
      </c>
      <c r="E10" s="11">
        <v>8200</v>
      </c>
      <c r="F10" s="11"/>
      <c r="G10" s="11"/>
      <c r="H10" s="11">
        <v>4000</v>
      </c>
      <c r="I10" s="11" t="s">
        <v>258</v>
      </c>
      <c r="J10" s="11"/>
      <c r="K10" s="11"/>
      <c r="L10" s="11">
        <v>2000</v>
      </c>
      <c r="M10" s="11" t="s">
        <v>399</v>
      </c>
      <c r="N10" s="11"/>
      <c r="O10" s="11"/>
      <c r="P10" s="11"/>
      <c r="Q10" s="11"/>
      <c r="R10" s="11"/>
      <c r="S10" s="11"/>
      <c r="T10" s="11"/>
      <c r="U10" s="11"/>
      <c r="V10" s="16">
        <f>F10+H10+L10+N10+P10+R10+T10</f>
        <v>6000</v>
      </c>
      <c r="W10" s="16">
        <f t="shared" si="1"/>
        <v>2200</v>
      </c>
    </row>
    <row r="11" spans="1:23">
      <c r="A11" s="16">
        <v>7</v>
      </c>
      <c r="B11" s="16">
        <v>202507009</v>
      </c>
      <c r="C11" s="11" t="s">
        <v>244</v>
      </c>
      <c r="D11" s="11" t="s">
        <v>245</v>
      </c>
      <c r="E11" s="11">
        <v>8200</v>
      </c>
      <c r="F11" s="11"/>
      <c r="G11" s="11"/>
      <c r="H11" s="11">
        <v>2000</v>
      </c>
      <c r="I11" s="11" t="s">
        <v>300</v>
      </c>
      <c r="J11" s="11">
        <v>1000</v>
      </c>
      <c r="K11" s="11" t="s">
        <v>345</v>
      </c>
      <c r="L11" s="11">
        <v>4500</v>
      </c>
      <c r="M11" s="11" t="s">
        <v>413</v>
      </c>
      <c r="N11" s="11"/>
      <c r="O11" s="11"/>
      <c r="P11" s="11"/>
      <c r="Q11" s="11"/>
      <c r="R11" s="11"/>
      <c r="S11" s="11"/>
      <c r="T11" s="11"/>
      <c r="U11" s="11"/>
      <c r="V11" s="16">
        <f t="shared" si="0"/>
        <v>7500</v>
      </c>
      <c r="W11" s="16">
        <f t="shared" si="1"/>
        <v>700</v>
      </c>
    </row>
    <row r="12" spans="1:23">
      <c r="A12" s="16">
        <v>8</v>
      </c>
      <c r="B12" s="16">
        <v>202507010</v>
      </c>
      <c r="C12" s="11" t="s">
        <v>246</v>
      </c>
      <c r="D12" s="11" t="s">
        <v>18</v>
      </c>
      <c r="E12" s="11">
        <v>8200</v>
      </c>
      <c r="F12" s="11"/>
      <c r="G12" s="11"/>
      <c r="H12" s="11">
        <v>3000</v>
      </c>
      <c r="I12" s="11" t="s">
        <v>342</v>
      </c>
      <c r="J12" s="11">
        <v>3100</v>
      </c>
      <c r="K12" s="11" t="s">
        <v>417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6">
        <f t="shared" si="0"/>
        <v>6100</v>
      </c>
      <c r="W12" s="16">
        <f t="shared" si="1"/>
        <v>2100</v>
      </c>
    </row>
    <row r="13" spans="1:23">
      <c r="A13" s="16">
        <v>9</v>
      </c>
      <c r="B13" s="16">
        <v>202507011</v>
      </c>
      <c r="C13" s="11" t="s">
        <v>247</v>
      </c>
      <c r="D13" s="11" t="s">
        <v>17</v>
      </c>
      <c r="E13" s="11">
        <v>8200</v>
      </c>
      <c r="F13" s="11"/>
      <c r="G13" s="11"/>
      <c r="H13" s="11">
        <v>1000</v>
      </c>
      <c r="I13" s="11" t="s">
        <v>257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6">
        <f t="shared" si="0"/>
        <v>1000</v>
      </c>
      <c r="W13" s="16">
        <f t="shared" si="1"/>
        <v>7200</v>
      </c>
    </row>
    <row r="14" spans="1:23">
      <c r="A14" s="16">
        <v>10</v>
      </c>
      <c r="B14" s="16">
        <v>202507015</v>
      </c>
      <c r="C14" s="11" t="s">
        <v>248</v>
      </c>
      <c r="D14" s="11" t="s">
        <v>249</v>
      </c>
      <c r="E14" s="11">
        <v>8200</v>
      </c>
      <c r="F14" s="11"/>
      <c r="G14" s="11"/>
      <c r="H14" s="11">
        <v>1800</v>
      </c>
      <c r="I14" s="11" t="s">
        <v>305</v>
      </c>
      <c r="J14" s="11">
        <v>200</v>
      </c>
      <c r="K14" s="11" t="s">
        <v>305</v>
      </c>
      <c r="L14" s="11">
        <v>600</v>
      </c>
      <c r="M14" s="11" t="s">
        <v>345</v>
      </c>
      <c r="N14" s="11">
        <v>1500</v>
      </c>
      <c r="O14" s="11" t="s">
        <v>345</v>
      </c>
      <c r="P14" s="11">
        <v>2000</v>
      </c>
      <c r="Q14" s="11" t="s">
        <v>402</v>
      </c>
      <c r="R14" s="11"/>
      <c r="S14" s="11"/>
      <c r="T14" s="11"/>
      <c r="U14" s="11"/>
      <c r="V14" s="16">
        <f t="shared" si="0"/>
        <v>6100</v>
      </c>
      <c r="W14" s="16">
        <f t="shared" si="1"/>
        <v>2100</v>
      </c>
    </row>
    <row r="15" spans="1:23">
      <c r="A15" s="16">
        <v>11</v>
      </c>
      <c r="B15" s="16">
        <v>202507017</v>
      </c>
      <c r="C15" s="11" t="s">
        <v>134</v>
      </c>
      <c r="D15" s="11" t="s">
        <v>153</v>
      </c>
      <c r="E15" s="11">
        <v>8200</v>
      </c>
      <c r="F15" s="11"/>
      <c r="G15" s="11"/>
      <c r="H15" s="11">
        <v>3000</v>
      </c>
      <c r="I15" s="11" t="s">
        <v>288</v>
      </c>
      <c r="J15" s="11">
        <v>3000</v>
      </c>
      <c r="K15" s="11" t="s">
        <v>139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6">
        <f t="shared" si="0"/>
        <v>6000</v>
      </c>
      <c r="W15" s="16">
        <f t="shared" si="1"/>
        <v>2200</v>
      </c>
    </row>
    <row r="16" spans="1:23">
      <c r="A16" s="16">
        <v>12</v>
      </c>
      <c r="B16" s="16">
        <v>202507020</v>
      </c>
      <c r="C16" s="11" t="s">
        <v>248</v>
      </c>
      <c r="D16" s="11" t="s">
        <v>250</v>
      </c>
      <c r="E16" s="11">
        <v>8200</v>
      </c>
      <c r="F16" s="11"/>
      <c r="G16" s="11"/>
      <c r="H16" s="11">
        <v>2500</v>
      </c>
      <c r="I16" s="11" t="s">
        <v>306</v>
      </c>
      <c r="J16" s="11">
        <v>1600</v>
      </c>
      <c r="K16" s="11" t="s">
        <v>347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6">
        <f t="shared" si="0"/>
        <v>4100</v>
      </c>
      <c r="W16" s="16">
        <f t="shared" si="1"/>
        <v>4100</v>
      </c>
    </row>
    <row r="17" spans="1:23">
      <c r="A17" s="16">
        <v>13</v>
      </c>
      <c r="B17" s="16">
        <v>202507021</v>
      </c>
      <c r="C17" s="11" t="s">
        <v>251</v>
      </c>
      <c r="D17" s="11" t="s">
        <v>252</v>
      </c>
      <c r="E17" s="11">
        <v>8200</v>
      </c>
      <c r="F17" s="11"/>
      <c r="G17" s="11"/>
      <c r="H17" s="11">
        <v>2100</v>
      </c>
      <c r="I17" s="11" t="s">
        <v>371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6">
        <f t="shared" si="0"/>
        <v>2100</v>
      </c>
      <c r="W17" s="16">
        <f t="shared" si="1"/>
        <v>6100</v>
      </c>
    </row>
    <row r="18" spans="1:23">
      <c r="A18" s="16">
        <v>14</v>
      </c>
      <c r="B18" s="16">
        <v>202507022</v>
      </c>
      <c r="C18" s="11" t="s">
        <v>253</v>
      </c>
      <c r="D18" s="11" t="s">
        <v>254</v>
      </c>
      <c r="E18" s="11">
        <v>8200</v>
      </c>
      <c r="F18" s="11"/>
      <c r="G18" s="11"/>
      <c r="H18" s="11">
        <v>3000</v>
      </c>
      <c r="I18" s="11" t="s">
        <v>307</v>
      </c>
      <c r="J18" s="11">
        <v>2000</v>
      </c>
      <c r="K18" s="11" t="s">
        <v>400</v>
      </c>
      <c r="L18" s="11">
        <v>1100</v>
      </c>
      <c r="M18" s="11" t="s">
        <v>418</v>
      </c>
      <c r="N18" s="11"/>
      <c r="O18" s="11"/>
      <c r="P18" s="11"/>
      <c r="Q18" s="11"/>
      <c r="R18" s="11"/>
      <c r="S18" s="11"/>
      <c r="T18" s="11"/>
      <c r="U18" s="11"/>
      <c r="V18" s="16">
        <f t="shared" si="0"/>
        <v>6100</v>
      </c>
      <c r="W18" s="16">
        <f t="shared" si="1"/>
        <v>2100</v>
      </c>
    </row>
    <row r="19" spans="1:23">
      <c r="A19" s="16">
        <v>15</v>
      </c>
      <c r="B19" s="16">
        <v>202507023</v>
      </c>
      <c r="C19" s="11" t="s">
        <v>255</v>
      </c>
      <c r="D19" s="11" t="s">
        <v>256</v>
      </c>
      <c r="E19" s="11">
        <v>8200</v>
      </c>
      <c r="F19" s="11"/>
      <c r="G19" s="11"/>
      <c r="H19" s="11">
        <v>9000</v>
      </c>
      <c r="I19" s="11" t="s">
        <v>357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6">
        <f t="shared" si="0"/>
        <v>9000</v>
      </c>
      <c r="W19" s="16">
        <f t="shared" si="1"/>
        <v>-800</v>
      </c>
    </row>
    <row r="20" spans="1:23">
      <c r="A20" s="16">
        <v>16</v>
      </c>
      <c r="B20" s="16">
        <v>202507024</v>
      </c>
      <c r="C20" s="11" t="s">
        <v>423</v>
      </c>
      <c r="D20" s="11" t="s">
        <v>18</v>
      </c>
      <c r="E20" s="11">
        <v>8200</v>
      </c>
      <c r="F20" s="11"/>
      <c r="G20" s="11"/>
      <c r="H20" s="11">
        <f>6800-650</f>
        <v>6150</v>
      </c>
      <c r="I20" s="11" t="s">
        <v>413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6">
        <f t="shared" si="0"/>
        <v>6150</v>
      </c>
      <c r="W20" s="16">
        <f t="shared" si="1"/>
        <v>2050</v>
      </c>
    </row>
    <row r="21" spans="1:23" s="39" customFormat="1">
      <c r="A21" s="16">
        <v>17</v>
      </c>
      <c r="B21" s="40">
        <v>202507004</v>
      </c>
      <c r="C21" s="41" t="s">
        <v>66</v>
      </c>
      <c r="D21" s="41" t="s">
        <v>238</v>
      </c>
      <c r="E21" s="41">
        <v>8200</v>
      </c>
      <c r="F21" s="42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0">
        <f>H21+J21+L21+N21+P21+R21+T21</f>
        <v>0</v>
      </c>
      <c r="W21" s="40">
        <f>E21-V21</f>
        <v>8200</v>
      </c>
    </row>
  </sheetData>
  <pageMargins left="0.7" right="0.7" top="0.75" bottom="0.75" header="0.3" footer="0.3"/>
  <ignoredErrors>
    <ignoredError sqref="V10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23"/>
  <sheetViews>
    <sheetView tabSelected="1" topLeftCell="I4" workbookViewId="0">
      <selection activeCell="G27" sqref="G27"/>
    </sheetView>
  </sheetViews>
  <sheetFormatPr defaultRowHeight="15"/>
  <cols>
    <col min="1" max="1" width="9" style="8"/>
    <col min="2" max="2" width="5.125" style="8" customWidth="1"/>
    <col min="3" max="3" width="15" style="8" customWidth="1"/>
    <col min="4" max="4" width="17.125" style="26" customWidth="1"/>
    <col min="5" max="5" width="16.75" style="26" customWidth="1"/>
    <col min="6" max="6" width="13.5" style="8" customWidth="1"/>
    <col min="7" max="7" width="9" style="8"/>
    <col min="8" max="8" width="13.625" style="8" customWidth="1"/>
    <col min="9" max="9" width="9" style="8"/>
    <col min="10" max="10" width="12.25" style="8" customWidth="1"/>
    <col min="11" max="11" width="9" style="8"/>
    <col min="12" max="12" width="10.75" style="8" customWidth="1"/>
    <col min="13" max="13" width="9" style="8"/>
    <col min="14" max="14" width="11.75" style="8" customWidth="1"/>
    <col min="15" max="15" width="9" style="8"/>
    <col min="16" max="16" width="11.125" style="8" customWidth="1"/>
    <col min="17" max="17" width="9" style="8"/>
    <col min="18" max="18" width="10.625" style="8" customWidth="1"/>
    <col min="19" max="22" width="9" style="8"/>
    <col min="23" max="23" width="16.125" style="8" customWidth="1"/>
    <col min="24" max="24" width="15.625" style="8" customWidth="1"/>
    <col min="25" max="16384" width="9" style="8"/>
  </cols>
  <sheetData>
    <row r="2" spans="2:24">
      <c r="C2" s="9"/>
      <c r="D2" s="43" t="s">
        <v>259</v>
      </c>
      <c r="E2" s="43"/>
      <c r="F2" s="38"/>
    </row>
    <row r="3" spans="2:24">
      <c r="C3" s="9"/>
      <c r="D3" s="43"/>
      <c r="E3" s="43"/>
    </row>
    <row r="4" spans="2:24">
      <c r="C4" s="9" t="s">
        <v>233</v>
      </c>
      <c r="D4" s="43" t="s">
        <v>3</v>
      </c>
      <c r="E4" s="43" t="s">
        <v>177</v>
      </c>
      <c r="F4" s="9" t="s">
        <v>5</v>
      </c>
      <c r="W4" s="9" t="s">
        <v>260</v>
      </c>
      <c r="X4" s="9" t="s">
        <v>261</v>
      </c>
    </row>
    <row r="5" spans="2:24">
      <c r="B5" s="16">
        <v>1</v>
      </c>
      <c r="C5" s="16">
        <v>202601001</v>
      </c>
      <c r="D5" s="44" t="s">
        <v>262</v>
      </c>
      <c r="E5" s="44" t="s">
        <v>88</v>
      </c>
      <c r="F5" s="16">
        <v>8200</v>
      </c>
      <c r="G5" s="16">
        <v>1000</v>
      </c>
      <c r="H5" s="16" t="s">
        <v>263</v>
      </c>
      <c r="I5" s="16">
        <v>2000</v>
      </c>
      <c r="J5" s="16" t="s">
        <v>315</v>
      </c>
      <c r="K5" s="16">
        <v>1000</v>
      </c>
      <c r="L5" s="16" t="s">
        <v>344</v>
      </c>
      <c r="M5" s="16">
        <v>1280</v>
      </c>
      <c r="N5" s="16" t="s">
        <v>415</v>
      </c>
      <c r="O5" s="16">
        <v>600</v>
      </c>
      <c r="P5" s="16"/>
      <c r="Q5" s="16"/>
      <c r="R5" s="16"/>
      <c r="S5" s="16"/>
      <c r="T5" s="16"/>
      <c r="U5" s="16"/>
      <c r="V5" s="16"/>
      <c r="W5" s="16">
        <f>G5+I5+K5+M5+O5+Q5+S5+U5</f>
        <v>5880</v>
      </c>
      <c r="X5" s="16">
        <f>F5-W5</f>
        <v>2320</v>
      </c>
    </row>
    <row r="6" spans="2:24">
      <c r="B6" s="16">
        <v>2</v>
      </c>
      <c r="C6" s="16">
        <v>202601002</v>
      </c>
      <c r="D6" s="44" t="s">
        <v>137</v>
      </c>
      <c r="E6" s="44" t="s">
        <v>20</v>
      </c>
      <c r="F6" s="16">
        <v>8200</v>
      </c>
      <c r="G6" s="16">
        <v>1000</v>
      </c>
      <c r="H6" s="16" t="s">
        <v>264</v>
      </c>
      <c r="I6" s="16">
        <v>4500</v>
      </c>
      <c r="J6" s="16" t="s">
        <v>298</v>
      </c>
      <c r="K6" s="16">
        <v>1332</v>
      </c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>
        <f t="shared" ref="W6:W23" si="0">G6+I6+K6+M6+O6+Q6+S6+U6</f>
        <v>6832</v>
      </c>
      <c r="X6" s="16">
        <f t="shared" ref="X6:X23" si="1">F6-W6</f>
        <v>1368</v>
      </c>
    </row>
    <row r="7" spans="2:24">
      <c r="B7" s="16">
        <v>3</v>
      </c>
      <c r="C7" s="16">
        <v>202601003</v>
      </c>
      <c r="D7" s="44" t="s">
        <v>173</v>
      </c>
      <c r="E7" s="44" t="s">
        <v>265</v>
      </c>
      <c r="F7" s="16">
        <v>8200</v>
      </c>
      <c r="G7" s="16">
        <v>1000</v>
      </c>
      <c r="H7" s="16" t="s">
        <v>264</v>
      </c>
      <c r="I7" s="16">
        <v>4000</v>
      </c>
      <c r="J7" s="16" t="s">
        <v>266</v>
      </c>
      <c r="K7" s="16">
        <v>1200</v>
      </c>
      <c r="L7" s="16" t="s">
        <v>413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>
        <f t="shared" si="0"/>
        <v>6200</v>
      </c>
      <c r="X7" s="16">
        <f t="shared" si="1"/>
        <v>2000</v>
      </c>
    </row>
    <row r="8" spans="2:24">
      <c r="B8" s="16">
        <v>4</v>
      </c>
      <c r="C8" s="16">
        <v>202601004</v>
      </c>
      <c r="D8" s="44" t="s">
        <v>267</v>
      </c>
      <c r="E8" s="44" t="s">
        <v>268</v>
      </c>
      <c r="F8" s="16">
        <v>8200</v>
      </c>
      <c r="G8" s="16">
        <v>1000</v>
      </c>
      <c r="H8" s="16" t="s">
        <v>269</v>
      </c>
      <c r="I8" s="16">
        <v>2000</v>
      </c>
      <c r="J8" s="16" t="s">
        <v>270</v>
      </c>
      <c r="K8" s="16">
        <v>2600</v>
      </c>
      <c r="L8" s="16" t="s">
        <v>271</v>
      </c>
      <c r="M8" s="16">
        <v>500</v>
      </c>
      <c r="N8" s="16" t="s">
        <v>412</v>
      </c>
      <c r="O8" s="16"/>
      <c r="P8" s="16"/>
      <c r="Q8" s="16"/>
      <c r="R8" s="16"/>
      <c r="S8" s="16"/>
      <c r="T8" s="16"/>
      <c r="U8" s="16"/>
      <c r="V8" s="16"/>
      <c r="W8" s="16">
        <f t="shared" si="0"/>
        <v>6100</v>
      </c>
      <c r="X8" s="16">
        <f t="shared" si="1"/>
        <v>2100</v>
      </c>
    </row>
    <row r="9" spans="2:24">
      <c r="B9" s="16">
        <v>5</v>
      </c>
      <c r="C9" s="16">
        <v>202601005</v>
      </c>
      <c r="D9" s="44" t="s">
        <v>154</v>
      </c>
      <c r="E9" s="44" t="s">
        <v>323</v>
      </c>
      <c r="F9" s="16">
        <v>8200</v>
      </c>
      <c r="G9" s="16">
        <v>2500</v>
      </c>
      <c r="H9" s="16" t="s">
        <v>324</v>
      </c>
      <c r="I9" s="16">
        <v>1600</v>
      </c>
      <c r="J9" s="16" t="s">
        <v>345</v>
      </c>
      <c r="K9" s="16">
        <v>2000</v>
      </c>
      <c r="L9" s="16" t="s">
        <v>412</v>
      </c>
      <c r="M9" s="16"/>
      <c r="N9" s="16"/>
      <c r="O9" s="16"/>
      <c r="P9" s="16"/>
      <c r="Q9" s="16"/>
      <c r="R9" s="16"/>
      <c r="S9" s="16"/>
      <c r="T9" s="16"/>
      <c r="U9" s="16"/>
      <c r="V9" s="16"/>
      <c r="W9" s="16">
        <f t="shared" si="0"/>
        <v>6100</v>
      </c>
      <c r="X9" s="16">
        <f t="shared" si="1"/>
        <v>2100</v>
      </c>
    </row>
    <row r="10" spans="2:24">
      <c r="B10" s="16">
        <v>6</v>
      </c>
      <c r="C10" s="16">
        <v>202601006</v>
      </c>
      <c r="D10" s="44" t="s">
        <v>272</v>
      </c>
      <c r="E10" s="44" t="s">
        <v>273</v>
      </c>
      <c r="F10" s="16">
        <v>8200</v>
      </c>
      <c r="G10" s="16">
        <v>4200</v>
      </c>
      <c r="H10" s="16" t="s">
        <v>274</v>
      </c>
      <c r="I10" s="16">
        <v>1350</v>
      </c>
      <c r="J10" s="16" t="s">
        <v>330</v>
      </c>
      <c r="K10" s="16">
        <v>2000</v>
      </c>
      <c r="L10" s="16" t="s">
        <v>344</v>
      </c>
      <c r="M10" s="16">
        <v>1332</v>
      </c>
      <c r="N10" s="16"/>
      <c r="O10" s="16"/>
      <c r="P10" s="16"/>
      <c r="Q10" s="16"/>
      <c r="R10" s="16"/>
      <c r="S10" s="16"/>
      <c r="T10" s="16"/>
      <c r="U10" s="16"/>
      <c r="V10" s="16"/>
      <c r="W10" s="16">
        <f t="shared" si="0"/>
        <v>8882</v>
      </c>
      <c r="X10" s="16">
        <f t="shared" si="1"/>
        <v>-682</v>
      </c>
    </row>
    <row r="11" spans="2:24">
      <c r="B11" s="16">
        <v>7</v>
      </c>
      <c r="C11" s="16">
        <v>202601007</v>
      </c>
      <c r="D11" s="44" t="s">
        <v>275</v>
      </c>
      <c r="E11" s="44" t="s">
        <v>40</v>
      </c>
      <c r="F11" s="16">
        <v>8200</v>
      </c>
      <c r="G11" s="16">
        <v>1000</v>
      </c>
      <c r="H11" s="16" t="s">
        <v>276</v>
      </c>
      <c r="I11" s="16">
        <v>1000</v>
      </c>
      <c r="J11" s="16" t="s">
        <v>327</v>
      </c>
      <c r="K11" s="16">
        <v>1000</v>
      </c>
      <c r="L11" s="16" t="s">
        <v>328</v>
      </c>
      <c r="M11" s="16">
        <v>2000</v>
      </c>
      <c r="N11" s="16" t="s">
        <v>328</v>
      </c>
      <c r="O11" s="16">
        <v>1500</v>
      </c>
      <c r="P11" s="16" t="s">
        <v>370</v>
      </c>
      <c r="Q11" s="16">
        <v>1500</v>
      </c>
      <c r="R11" s="16" t="s">
        <v>425</v>
      </c>
      <c r="S11" s="16">
        <v>200</v>
      </c>
      <c r="T11" s="16" t="s">
        <v>425</v>
      </c>
      <c r="U11" s="16"/>
      <c r="V11" s="16"/>
      <c r="W11" s="16">
        <f t="shared" si="0"/>
        <v>8200</v>
      </c>
      <c r="X11" s="16">
        <f t="shared" si="1"/>
        <v>0</v>
      </c>
    </row>
    <row r="12" spans="2:24">
      <c r="B12" s="16">
        <v>8</v>
      </c>
      <c r="C12" s="16">
        <v>202601008</v>
      </c>
      <c r="D12" s="44" t="s">
        <v>141</v>
      </c>
      <c r="E12" s="44" t="s">
        <v>277</v>
      </c>
      <c r="F12" s="16">
        <v>8200</v>
      </c>
      <c r="G12" s="16">
        <v>1000</v>
      </c>
      <c r="H12" s="16" t="s">
        <v>278</v>
      </c>
      <c r="I12" s="16">
        <v>4200</v>
      </c>
      <c r="J12" s="16" t="s">
        <v>279</v>
      </c>
      <c r="K12" s="16">
        <v>1950</v>
      </c>
      <c r="L12" s="16" t="s">
        <v>414</v>
      </c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>
        <f t="shared" si="0"/>
        <v>7150</v>
      </c>
      <c r="X12" s="16">
        <f t="shared" si="1"/>
        <v>1050</v>
      </c>
    </row>
    <row r="13" spans="2:24">
      <c r="B13" s="16">
        <v>9</v>
      </c>
      <c r="C13" s="16">
        <v>202601009</v>
      </c>
      <c r="D13" s="44" t="s">
        <v>96</v>
      </c>
      <c r="E13" s="44" t="s">
        <v>280</v>
      </c>
      <c r="F13" s="16">
        <v>8200</v>
      </c>
      <c r="G13" s="16">
        <v>1000</v>
      </c>
      <c r="H13" s="16" t="s">
        <v>281</v>
      </c>
      <c r="I13" s="16">
        <v>4000</v>
      </c>
      <c r="J13" s="16" t="s">
        <v>282</v>
      </c>
      <c r="K13" s="16">
        <f>5070-870</f>
        <v>4200</v>
      </c>
      <c r="L13" s="16" t="s">
        <v>282</v>
      </c>
      <c r="M13" s="16">
        <v>1332</v>
      </c>
      <c r="N13" s="16" t="s">
        <v>410</v>
      </c>
      <c r="O13" s="16"/>
      <c r="P13" s="16"/>
      <c r="Q13" s="16"/>
      <c r="R13" s="16"/>
      <c r="S13" s="16"/>
      <c r="T13" s="16"/>
      <c r="U13" s="16"/>
      <c r="V13" s="16"/>
      <c r="W13" s="16">
        <f t="shared" si="0"/>
        <v>10532</v>
      </c>
      <c r="X13" s="16">
        <f t="shared" si="1"/>
        <v>-2332</v>
      </c>
    </row>
    <row r="14" spans="2:24">
      <c r="B14" s="16">
        <v>10</v>
      </c>
      <c r="C14" s="16">
        <v>202601010</v>
      </c>
      <c r="D14" s="44" t="s">
        <v>79</v>
      </c>
      <c r="E14" s="44" t="s">
        <v>195</v>
      </c>
      <c r="F14" s="16">
        <v>8200</v>
      </c>
      <c r="G14" s="16">
        <v>1000</v>
      </c>
      <c r="H14" s="16" t="s">
        <v>283</v>
      </c>
      <c r="I14" s="16">
        <v>4000</v>
      </c>
      <c r="J14" s="16" t="s">
        <v>139</v>
      </c>
      <c r="K14" s="16">
        <v>700</v>
      </c>
      <c r="L14" s="16" t="s">
        <v>416</v>
      </c>
      <c r="M14" s="16">
        <v>500</v>
      </c>
      <c r="N14" s="16"/>
      <c r="O14" s="16"/>
      <c r="P14" s="16"/>
      <c r="Q14" s="16"/>
      <c r="R14" s="16"/>
      <c r="S14" s="16"/>
      <c r="T14" s="16"/>
      <c r="U14" s="16"/>
      <c r="V14" s="16"/>
      <c r="W14" s="16">
        <f t="shared" si="0"/>
        <v>6200</v>
      </c>
      <c r="X14" s="16">
        <f t="shared" si="1"/>
        <v>2000</v>
      </c>
    </row>
    <row r="15" spans="2:24">
      <c r="B15" s="16">
        <v>11</v>
      </c>
      <c r="C15" s="16">
        <v>202601011</v>
      </c>
      <c r="D15" s="44" t="s">
        <v>184</v>
      </c>
      <c r="E15" s="44" t="s">
        <v>187</v>
      </c>
      <c r="F15" s="16">
        <v>8200</v>
      </c>
      <c r="G15" s="16">
        <v>4000</v>
      </c>
      <c r="H15" s="16" t="s">
        <v>258</v>
      </c>
      <c r="I15" s="16">
        <v>2000</v>
      </c>
      <c r="J15" s="16" t="s">
        <v>315</v>
      </c>
      <c r="K15" s="16">
        <v>1000</v>
      </c>
      <c r="L15" s="16" t="s">
        <v>401</v>
      </c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>
        <f t="shared" si="0"/>
        <v>7000</v>
      </c>
      <c r="X15" s="16">
        <f t="shared" si="1"/>
        <v>1200</v>
      </c>
    </row>
    <row r="16" spans="2:24">
      <c r="B16" s="16">
        <v>12</v>
      </c>
      <c r="C16" s="16">
        <v>202601012</v>
      </c>
      <c r="D16" s="44" t="s">
        <v>212</v>
      </c>
      <c r="E16" s="44" t="s">
        <v>284</v>
      </c>
      <c r="F16" s="16">
        <v>8200</v>
      </c>
      <c r="G16" s="16">
        <v>1000</v>
      </c>
      <c r="H16" s="16" t="s">
        <v>285</v>
      </c>
      <c r="I16" s="16">
        <v>2000</v>
      </c>
      <c r="J16" s="16" t="s">
        <v>286</v>
      </c>
      <c r="K16" s="16">
        <v>1332</v>
      </c>
      <c r="L16" s="16" t="s">
        <v>286</v>
      </c>
      <c r="M16" s="16">
        <v>2100</v>
      </c>
      <c r="N16" s="16" t="s">
        <v>413</v>
      </c>
      <c r="O16" s="16"/>
      <c r="P16" s="16"/>
      <c r="Q16" s="16"/>
      <c r="R16" s="16"/>
      <c r="S16" s="16"/>
      <c r="T16" s="16"/>
      <c r="U16" s="16"/>
      <c r="V16" s="16"/>
      <c r="W16" s="16">
        <f t="shared" si="0"/>
        <v>6432</v>
      </c>
      <c r="X16" s="16">
        <f t="shared" si="1"/>
        <v>1768</v>
      </c>
    </row>
    <row r="17" spans="2:24">
      <c r="B17" s="16">
        <v>13</v>
      </c>
      <c r="C17" s="16">
        <v>202601013</v>
      </c>
      <c r="D17" s="44" t="s">
        <v>251</v>
      </c>
      <c r="E17" s="44" t="s">
        <v>88</v>
      </c>
      <c r="F17" s="16">
        <v>8200</v>
      </c>
      <c r="G17" s="16">
        <v>1000</v>
      </c>
      <c r="H17" s="16" t="s">
        <v>286</v>
      </c>
      <c r="I17" s="16">
        <v>2000</v>
      </c>
      <c r="J17" s="16" t="s">
        <v>72</v>
      </c>
      <c r="K17" s="16">
        <v>1000</v>
      </c>
      <c r="L17" s="16" t="s">
        <v>359</v>
      </c>
      <c r="M17" s="16">
        <v>1334</v>
      </c>
      <c r="N17" s="16" t="s">
        <v>409</v>
      </c>
      <c r="O17" s="16">
        <v>1000</v>
      </c>
      <c r="P17" s="16" t="s">
        <v>415</v>
      </c>
      <c r="Q17" s="16"/>
      <c r="R17" s="16"/>
      <c r="S17" s="16"/>
      <c r="T17" s="16"/>
      <c r="U17" s="16"/>
      <c r="V17" s="16"/>
      <c r="W17" s="16">
        <f t="shared" si="0"/>
        <v>6334</v>
      </c>
      <c r="X17" s="16">
        <f t="shared" si="1"/>
        <v>1866</v>
      </c>
    </row>
    <row r="18" spans="2:24">
      <c r="B18" s="16">
        <v>14</v>
      </c>
      <c r="C18" s="16">
        <v>202601014</v>
      </c>
      <c r="D18" s="44" t="s">
        <v>287</v>
      </c>
      <c r="E18" s="44" t="s">
        <v>153</v>
      </c>
      <c r="F18" s="16">
        <v>8200</v>
      </c>
      <c r="G18" s="16">
        <v>4200</v>
      </c>
      <c r="H18" s="16" t="s">
        <v>288</v>
      </c>
      <c r="I18" s="16">
        <v>2000</v>
      </c>
      <c r="J18" s="16" t="s">
        <v>408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>
        <f t="shared" si="0"/>
        <v>6200</v>
      </c>
      <c r="X18" s="16">
        <f t="shared" si="1"/>
        <v>2000</v>
      </c>
    </row>
    <row r="19" spans="2:24">
      <c r="B19" s="16">
        <v>15</v>
      </c>
      <c r="C19" s="16">
        <v>202601015</v>
      </c>
      <c r="D19" s="44" t="s">
        <v>65</v>
      </c>
      <c r="E19" s="44" t="s">
        <v>289</v>
      </c>
      <c r="F19" s="16">
        <v>8200</v>
      </c>
      <c r="G19" s="16">
        <v>4200</v>
      </c>
      <c r="H19" s="16" t="s">
        <v>290</v>
      </c>
      <c r="I19" s="16">
        <v>4000</v>
      </c>
      <c r="J19" s="16" t="s">
        <v>290</v>
      </c>
      <c r="K19" s="16">
        <v>1332</v>
      </c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>
        <f t="shared" si="0"/>
        <v>9532</v>
      </c>
      <c r="X19" s="16">
        <f t="shared" si="1"/>
        <v>-1332</v>
      </c>
    </row>
    <row r="20" spans="2:24">
      <c r="B20" s="16">
        <v>16</v>
      </c>
      <c r="C20" s="16">
        <v>202601016</v>
      </c>
      <c r="D20" s="44" t="s">
        <v>22</v>
      </c>
      <c r="E20" s="44" t="s">
        <v>291</v>
      </c>
      <c r="F20" s="16">
        <v>8200</v>
      </c>
      <c r="G20" s="16">
        <v>1000</v>
      </c>
      <c r="H20" s="16" t="s">
        <v>292</v>
      </c>
      <c r="I20" s="16">
        <v>2000</v>
      </c>
      <c r="J20" s="16" t="s">
        <v>139</v>
      </c>
      <c r="K20" s="16">
        <v>1000</v>
      </c>
      <c r="L20" s="16" t="s">
        <v>345</v>
      </c>
      <c r="M20" s="16">
        <v>1500</v>
      </c>
      <c r="N20" s="16" t="s">
        <v>401</v>
      </c>
      <c r="O20" s="16">
        <v>500</v>
      </c>
      <c r="P20" s="16" t="s">
        <v>414</v>
      </c>
      <c r="Q20" s="16"/>
      <c r="R20" s="16"/>
      <c r="S20" s="16"/>
      <c r="T20" s="16"/>
      <c r="U20" s="16"/>
      <c r="V20" s="16"/>
      <c r="W20" s="16">
        <f t="shared" si="0"/>
        <v>6000</v>
      </c>
      <c r="X20" s="16">
        <f t="shared" si="1"/>
        <v>2200</v>
      </c>
    </row>
    <row r="21" spans="2:24">
      <c r="B21" s="16">
        <v>17</v>
      </c>
      <c r="C21" s="16">
        <v>202601017</v>
      </c>
      <c r="D21" s="44" t="s">
        <v>293</v>
      </c>
      <c r="E21" s="44" t="s">
        <v>294</v>
      </c>
      <c r="F21" s="16">
        <v>8200</v>
      </c>
      <c r="G21" s="16">
        <v>1000</v>
      </c>
      <c r="H21" s="16" t="s">
        <v>295</v>
      </c>
      <c r="I21" s="16">
        <v>1000</v>
      </c>
      <c r="J21" s="16" t="s">
        <v>72</v>
      </c>
      <c r="K21" s="16">
        <v>2000</v>
      </c>
      <c r="L21" s="16" t="s">
        <v>326</v>
      </c>
      <c r="M21" s="16">
        <v>1200</v>
      </c>
      <c r="N21" s="16" t="s">
        <v>326</v>
      </c>
      <c r="O21" s="16">
        <v>1000</v>
      </c>
      <c r="P21" s="16" t="s">
        <v>411</v>
      </c>
      <c r="Q21" s="16">
        <v>500</v>
      </c>
      <c r="R21" s="16" t="s">
        <v>411</v>
      </c>
      <c r="S21" s="16"/>
      <c r="T21" s="16"/>
      <c r="U21" s="16"/>
      <c r="V21" s="16"/>
      <c r="W21" s="16">
        <f t="shared" si="0"/>
        <v>6700</v>
      </c>
      <c r="X21" s="16">
        <f t="shared" si="1"/>
        <v>1500</v>
      </c>
    </row>
    <row r="22" spans="2:24">
      <c r="B22" s="16">
        <v>18</v>
      </c>
      <c r="C22" s="16">
        <v>202601018</v>
      </c>
      <c r="D22" s="44" t="s">
        <v>340</v>
      </c>
      <c r="E22" s="44" t="s">
        <v>71</v>
      </c>
      <c r="F22" s="16">
        <v>8200</v>
      </c>
      <c r="G22" s="16">
        <v>2000</v>
      </c>
      <c r="H22" s="16" t="s">
        <v>397</v>
      </c>
      <c r="I22" s="16">
        <v>2000</v>
      </c>
      <c r="J22" s="16" t="s">
        <v>398</v>
      </c>
      <c r="K22" s="16">
        <v>2000</v>
      </c>
      <c r="L22" s="16" t="s">
        <v>333</v>
      </c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>
        <f t="shared" si="0"/>
        <v>6000</v>
      </c>
      <c r="X22" s="16">
        <f t="shared" si="1"/>
        <v>2200</v>
      </c>
    </row>
    <row r="23" spans="2:24">
      <c r="B23" s="16">
        <v>19</v>
      </c>
      <c r="C23" s="16">
        <v>202601019</v>
      </c>
      <c r="D23" s="44" t="s">
        <v>423</v>
      </c>
      <c r="E23" s="44" t="s">
        <v>18</v>
      </c>
      <c r="F23" s="16">
        <v>8200</v>
      </c>
      <c r="G23" s="16">
        <f>6800-650</f>
        <v>6150</v>
      </c>
      <c r="H23" s="16" t="s">
        <v>413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>
        <f t="shared" si="0"/>
        <v>6150</v>
      </c>
      <c r="X23" s="16">
        <f t="shared" si="1"/>
        <v>2050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15"/>
  <sheetViews>
    <sheetView workbookViewId="0">
      <selection activeCell="K13" sqref="K13"/>
    </sheetView>
  </sheetViews>
  <sheetFormatPr defaultRowHeight="15"/>
  <cols>
    <col min="1" max="1" width="5.875" style="8" customWidth="1"/>
    <col min="2" max="2" width="15.25" style="8" customWidth="1"/>
    <col min="3" max="3" width="11" style="8" customWidth="1"/>
    <col min="4" max="4" width="14.25" style="8" customWidth="1"/>
    <col min="5" max="6" width="9" style="8"/>
    <col min="7" max="7" width="9" style="7"/>
    <col min="8" max="9" width="9" style="8"/>
    <col min="10" max="16384" width="9" style="7"/>
  </cols>
  <sheetData>
    <row r="2" spans="1:26">
      <c r="C2" s="9"/>
      <c r="D2" s="9" t="s">
        <v>343</v>
      </c>
      <c r="E2" s="9"/>
    </row>
    <row r="5" spans="1:26">
      <c r="A5" s="8">
        <v>1</v>
      </c>
      <c r="B5" s="8">
        <v>202401028</v>
      </c>
      <c r="C5" s="8" t="s">
        <v>107</v>
      </c>
      <c r="D5" s="8" t="s">
        <v>108</v>
      </c>
      <c r="E5" s="8">
        <f>8200</f>
        <v>8200</v>
      </c>
      <c r="F5" s="46">
        <v>8200</v>
      </c>
      <c r="T5" s="7">
        <v>0</v>
      </c>
      <c r="U5" s="7">
        <v>16400</v>
      </c>
    </row>
    <row r="6" spans="1:26">
      <c r="A6" s="8">
        <v>2</v>
      </c>
      <c r="B6" s="8">
        <v>202401044</v>
      </c>
      <c r="C6" s="8" t="s">
        <v>120</v>
      </c>
      <c r="D6" s="8" t="s">
        <v>91</v>
      </c>
      <c r="E6" s="8">
        <f>8200</f>
        <v>8200</v>
      </c>
      <c r="F6" s="46">
        <v>5200</v>
      </c>
      <c r="T6" s="7">
        <f>F6+H6+J6+L6+N6+P6+R6</f>
        <v>5200</v>
      </c>
      <c r="U6" s="7">
        <f>E6-T6</f>
        <v>3000</v>
      </c>
    </row>
    <row r="7" spans="1:26">
      <c r="A7" s="8">
        <v>3</v>
      </c>
      <c r="C7" s="8" t="s">
        <v>17</v>
      </c>
      <c r="D7" s="8" t="s">
        <v>115</v>
      </c>
      <c r="E7" s="8">
        <v>8200</v>
      </c>
      <c r="F7" s="47">
        <v>3680</v>
      </c>
    </row>
    <row r="8" spans="1:26">
      <c r="A8" s="8">
        <v>4</v>
      </c>
      <c r="B8" s="8">
        <v>202307059</v>
      </c>
      <c r="C8" s="8" t="s">
        <v>59</v>
      </c>
      <c r="D8" s="8" t="s">
        <v>60</v>
      </c>
      <c r="E8" s="8">
        <f>8200</f>
        <v>8200</v>
      </c>
      <c r="F8" s="46">
        <v>8200</v>
      </c>
      <c r="Y8" s="7">
        <f>SUM(H8+J8+L8+N8+P8+R8+T8+V8)</f>
        <v>0</v>
      </c>
      <c r="Z8" s="7">
        <f>E8-Y8</f>
        <v>8200</v>
      </c>
    </row>
    <row r="9" spans="1:26">
      <c r="A9" s="8">
        <v>5</v>
      </c>
      <c r="B9" s="8">
        <v>202307051</v>
      </c>
      <c r="C9" s="8" t="s">
        <v>47</v>
      </c>
      <c r="D9" s="8" t="s">
        <v>48</v>
      </c>
      <c r="E9" s="8">
        <f>8200</f>
        <v>8200</v>
      </c>
      <c r="F9" s="46">
        <v>8200</v>
      </c>
      <c r="Y9" s="7">
        <f>SUM(H9+J9+L9+N9+P9+R9+T9+V9)</f>
        <v>0</v>
      </c>
      <c r="Z9" s="7">
        <f>E9-Y9</f>
        <v>8200</v>
      </c>
    </row>
    <row r="14" spans="1:26">
      <c r="A14" s="8">
        <v>36</v>
      </c>
      <c r="B14" s="8">
        <v>202307067</v>
      </c>
      <c r="C14" s="8" t="s">
        <v>68</v>
      </c>
      <c r="D14" s="8" t="s">
        <v>73</v>
      </c>
      <c r="E14" s="8">
        <v>0</v>
      </c>
      <c r="Y14" s="7">
        <f>SUM(F14+H14+J14+L14+N14+P14+R14+T14+V14)</f>
        <v>0</v>
      </c>
      <c r="Z14" s="7">
        <f>E14-Y14</f>
        <v>0</v>
      </c>
    </row>
    <row r="15" spans="1:26">
      <c r="A15" s="8">
        <v>26</v>
      </c>
      <c r="B15" s="8">
        <v>202307048</v>
      </c>
      <c r="C15" s="8" t="s">
        <v>45</v>
      </c>
      <c r="D15" s="8" t="s">
        <v>46</v>
      </c>
      <c r="E15" s="8">
        <f>8200</f>
        <v>8200</v>
      </c>
      <c r="H15" s="8">
        <v>1000</v>
      </c>
      <c r="I15" s="8" t="s">
        <v>316</v>
      </c>
      <c r="Y15" s="7">
        <f>SUM(F15+H15+J15+L15+N15+P15+R15+T15+V15)</f>
        <v>1000</v>
      </c>
      <c r="Z15" s="7">
        <f>E15-Y15</f>
        <v>7200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>
      <selection activeCell="D35" sqref="D35"/>
    </sheetView>
  </sheetViews>
  <sheetFormatPr defaultRowHeight="14.25"/>
  <cols>
    <col min="1" max="1" width="5.375" style="6" customWidth="1"/>
    <col min="2" max="2" width="10.75" customWidth="1"/>
    <col min="3" max="3" width="12.375" customWidth="1"/>
    <col min="4" max="4" width="14.125" style="6" customWidth="1"/>
    <col min="5" max="5" width="17.875" style="6" customWidth="1"/>
  </cols>
  <sheetData>
    <row r="2" spans="1:5">
      <c r="B2" t="s">
        <v>403</v>
      </c>
    </row>
    <row r="4" spans="1:5">
      <c r="D4" s="6" t="s">
        <v>405</v>
      </c>
      <c r="E4" s="6" t="s">
        <v>406</v>
      </c>
    </row>
    <row r="5" spans="1:5">
      <c r="A5" s="6">
        <v>1</v>
      </c>
      <c r="B5" s="48" t="s">
        <v>404</v>
      </c>
      <c r="C5" s="48" t="s">
        <v>48</v>
      </c>
      <c r="D5" s="45">
        <v>8200</v>
      </c>
      <c r="E5" s="45">
        <v>8200</v>
      </c>
    </row>
    <row r="6" spans="1:5">
      <c r="A6" s="6">
        <v>2</v>
      </c>
      <c r="B6" s="48" t="s">
        <v>378</v>
      </c>
      <c r="C6" s="48" t="s">
        <v>52</v>
      </c>
      <c r="D6" s="6">
        <v>0</v>
      </c>
      <c r="E6" s="6">
        <v>4200</v>
      </c>
    </row>
    <row r="7" spans="1:5">
      <c r="A7" s="6">
        <v>3</v>
      </c>
      <c r="B7" s="48" t="s">
        <v>38</v>
      </c>
      <c r="C7" s="48" t="s">
        <v>39</v>
      </c>
      <c r="E7" s="6">
        <v>6200</v>
      </c>
    </row>
    <row r="8" spans="1:5">
      <c r="A8" s="6">
        <v>4</v>
      </c>
      <c r="B8" s="48" t="s">
        <v>32</v>
      </c>
      <c r="C8" s="48" t="s">
        <v>17</v>
      </c>
      <c r="D8" s="6">
        <v>0</v>
      </c>
      <c r="E8" s="6">
        <v>5200</v>
      </c>
    </row>
    <row r="9" spans="1:5">
      <c r="A9" s="6">
        <v>5</v>
      </c>
      <c r="B9" s="48" t="s">
        <v>107</v>
      </c>
      <c r="C9" s="48" t="s">
        <v>120</v>
      </c>
      <c r="D9" s="6">
        <v>950</v>
      </c>
      <c r="E9" s="6">
        <v>4200</v>
      </c>
    </row>
    <row r="10" spans="1:5">
      <c r="A10" s="6">
        <v>6</v>
      </c>
      <c r="B10" s="48" t="s">
        <v>379</v>
      </c>
      <c r="C10" s="48" t="s">
        <v>380</v>
      </c>
      <c r="D10" s="6">
        <v>2550</v>
      </c>
      <c r="E10" s="6">
        <v>4200</v>
      </c>
    </row>
    <row r="11" spans="1:5">
      <c r="A11" s="6">
        <v>7</v>
      </c>
      <c r="B11" s="48" t="s">
        <v>384</v>
      </c>
      <c r="C11" s="48" t="s">
        <v>385</v>
      </c>
      <c r="D11" s="6">
        <v>950</v>
      </c>
      <c r="E11" s="6">
        <v>4200</v>
      </c>
    </row>
    <row r="12" spans="1:5">
      <c r="A12" s="6">
        <v>8</v>
      </c>
      <c r="B12" s="48" t="s">
        <v>386</v>
      </c>
      <c r="C12" s="48" t="s">
        <v>387</v>
      </c>
      <c r="D12" s="6">
        <v>3950</v>
      </c>
      <c r="E12" s="6">
        <v>4200</v>
      </c>
    </row>
    <row r="13" spans="1:5">
      <c r="A13" s="6">
        <v>9</v>
      </c>
      <c r="B13" s="48" t="s">
        <v>390</v>
      </c>
      <c r="C13" s="48" t="s">
        <v>58</v>
      </c>
      <c r="D13" s="6">
        <v>3950</v>
      </c>
      <c r="E13" s="6">
        <v>4200</v>
      </c>
    </row>
    <row r="14" spans="1:5">
      <c r="A14" s="6">
        <v>10</v>
      </c>
      <c r="B14" s="48" t="s">
        <v>392</v>
      </c>
      <c r="C14" s="48" t="s">
        <v>393</v>
      </c>
      <c r="E14" s="6">
        <v>1300</v>
      </c>
    </row>
    <row r="15" spans="1:5">
      <c r="A15" s="6">
        <v>11</v>
      </c>
      <c r="B15" s="48" t="s">
        <v>382</v>
      </c>
      <c r="C15" s="48" t="s">
        <v>383</v>
      </c>
      <c r="D15" s="6">
        <v>0</v>
      </c>
      <c r="E15" s="6">
        <v>3100</v>
      </c>
    </row>
    <row r="16" spans="1:5">
      <c r="A16" s="6">
        <v>12</v>
      </c>
      <c r="B16" s="48" t="s">
        <v>234</v>
      </c>
      <c r="C16" s="48" t="s">
        <v>381</v>
      </c>
      <c r="D16" s="6">
        <v>4950</v>
      </c>
      <c r="E16" s="6">
        <v>4200</v>
      </c>
    </row>
    <row r="17" spans="2:3">
      <c r="B17" s="6"/>
      <c r="C1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RN-5</vt:lpstr>
      <vt:lpstr>RN-6</vt:lpstr>
      <vt:lpstr>RN-7</vt:lpstr>
      <vt:lpstr>RN-8</vt:lpstr>
      <vt:lpstr>RN-9</vt:lpstr>
      <vt:lpstr>RN-10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Admn</dc:creator>
  <cp:lastModifiedBy>Dr Solomon Musonda</cp:lastModifiedBy>
  <dcterms:created xsi:type="dcterms:W3CDTF">2026-01-08T12:32:46Z</dcterms:created>
  <dcterms:modified xsi:type="dcterms:W3CDTF">2026-05-03T08:57:19Z</dcterms:modified>
</cp:coreProperties>
</file>