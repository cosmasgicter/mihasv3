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n\Desktop\"/>
    </mc:Choice>
  </mc:AlternateContent>
  <xr:revisionPtr revIDLastSave="0" documentId="13_ncr:1_{7BA3D22D-2177-4B31-B0F5-80E9FA680162}" xr6:coauthVersionLast="47" xr6:coauthVersionMax="47" xr10:uidLastSave="{00000000-0000-0000-0000-000000000000}"/>
  <bookViews>
    <workbookView xWindow="-120" yWindow="-120" windowWidth="24240" windowHeight="13020" activeTab="5" xr2:uid="{00000000-000D-0000-FFFF-FFFF00000000}"/>
  </bookViews>
  <sheets>
    <sheet name="RN-4" sheetId="1" r:id="rId1"/>
    <sheet name="Sheet1" sheetId="8" r:id="rId2"/>
    <sheet name="RN-5" sheetId="2" r:id="rId3"/>
    <sheet name="RN-6" sheetId="3" r:id="rId4"/>
    <sheet name="RN-7" sheetId="4" r:id="rId5"/>
    <sheet name="RN-8" sheetId="5" r:id="rId6"/>
    <sheet name="RN9" sheetId="7" r:id="rId7"/>
    <sheet name="TOTAL FEES " sheetId="6" r:id="rId8"/>
  </sheets>
  <definedNames>
    <definedName name="_xlnm.Print_Area" localSheetId="0">'RN-4'!$A$39:$B$54</definedName>
    <definedName name="_xlnm.Print_Area" localSheetId="3">'RN-6'!$A$32:$K$50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K36" i="2"/>
  <c r="F50" i="1"/>
  <c r="E12" i="1"/>
  <c r="J43" i="3"/>
  <c r="F19" i="1"/>
  <c r="E76" i="1"/>
  <c r="E72" i="1"/>
  <c r="E66" i="1" l="1"/>
  <c r="K7" i="2" l="1"/>
  <c r="K16" i="2"/>
  <c r="D55" i="1" l="1"/>
  <c r="E55" i="1"/>
  <c r="F55" i="1"/>
  <c r="E30" i="1"/>
  <c r="F77" i="1" l="1"/>
  <c r="I50" i="3"/>
  <c r="L55" i="2"/>
  <c r="I9" i="7"/>
  <c r="H9" i="7"/>
  <c r="J11" i="4" l="1"/>
  <c r="K29" i="2"/>
  <c r="F4" i="6"/>
  <c r="F35" i="1"/>
  <c r="K22" i="2"/>
  <c r="K37" i="2" l="1"/>
  <c r="K38" i="2"/>
  <c r="L41" i="2"/>
  <c r="L42" i="2" s="1"/>
  <c r="I28" i="3"/>
  <c r="K9" i="2"/>
  <c r="K55" i="2" l="1"/>
  <c r="K26" i="2"/>
  <c r="K33" i="2"/>
  <c r="K18" i="2"/>
  <c r="K41" i="2" l="1"/>
  <c r="E32" i="4"/>
  <c r="F50" i="3"/>
  <c r="K42" i="2" l="1"/>
  <c r="K6" i="4"/>
  <c r="E13" i="1"/>
  <c r="E14" i="1"/>
  <c r="E15" i="1"/>
  <c r="E16" i="1"/>
  <c r="E17" i="1"/>
  <c r="E18" i="1"/>
  <c r="E19" i="1"/>
  <c r="E20" i="1"/>
  <c r="E6" i="1"/>
  <c r="E7" i="1"/>
  <c r="E8" i="1"/>
  <c r="E9" i="1"/>
  <c r="E10" i="1"/>
  <c r="E11" i="1"/>
  <c r="F9" i="7"/>
  <c r="E35" i="1" l="1"/>
  <c r="D35" i="1"/>
  <c r="F18" i="6" l="1"/>
  <c r="F17" i="6"/>
  <c r="F16" i="6"/>
  <c r="F15" i="6"/>
  <c r="F14" i="6"/>
  <c r="F19" i="6" s="1"/>
  <c r="D9" i="6"/>
  <c r="E9" i="6"/>
  <c r="F7" i="6"/>
  <c r="F6" i="6"/>
  <c r="F5" i="6"/>
  <c r="J28" i="3"/>
  <c r="F28" i="3"/>
  <c r="E11" i="4"/>
  <c r="F11" i="4"/>
  <c r="K11" i="4"/>
  <c r="F32" i="4"/>
  <c r="G32" i="5"/>
  <c r="K32" i="5"/>
  <c r="K32" i="4"/>
  <c r="J50" i="3"/>
  <c r="F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2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DIDN’T PAY 364</t>
        </r>
      </text>
    </comment>
    <comment ref="A5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THESE ARE STILL WRITING gce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DIDN’T PAY K364</t>
        </r>
      </text>
    </comment>
    <comment ref="A4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THESE ARE STILL WRITING GCE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3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STILL WRITING GCE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these have entry qualifications in different G12 intake dates</t>
        </r>
      </text>
    </comment>
    <comment ref="B1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these are still writing GCE</t>
        </r>
      </text>
    </comment>
  </commentList>
</comments>
</file>

<file path=xl/sharedStrings.xml><?xml version="1.0" encoding="utf-8"?>
<sst xmlns="http://schemas.openxmlformats.org/spreadsheetml/2006/main" count="1313" uniqueCount="438">
  <si>
    <t>RN4</t>
  </si>
  <si>
    <t>STUDENT NAMES</t>
  </si>
  <si>
    <t>NMCZ SYSTEM STATUS</t>
  </si>
  <si>
    <t>INDEXING STATUS</t>
  </si>
  <si>
    <t>GNC FEE</t>
  </si>
  <si>
    <t>PENALTY FEE</t>
  </si>
  <si>
    <t>STATUS</t>
  </si>
  <si>
    <t>PAID</t>
  </si>
  <si>
    <t>BALANCE</t>
  </si>
  <si>
    <t>ACCOUNTS REMARK</t>
  </si>
  <si>
    <t>NRC</t>
  </si>
  <si>
    <t>EMAIL</t>
  </si>
  <si>
    <t>CLEARED/NOT CLEARED</t>
  </si>
  <si>
    <t>ANNIE KAJIYA</t>
  </si>
  <si>
    <t>UPLOADED</t>
  </si>
  <si>
    <t>INDEXED</t>
  </si>
  <si>
    <t xml:space="preserve">CLEARED </t>
  </si>
  <si>
    <t>BERTHA LUPUPA</t>
  </si>
  <si>
    <t>CLEARED</t>
  </si>
  <si>
    <t>BETTY PHIRI</t>
  </si>
  <si>
    <t>NOT INDEXED</t>
  </si>
  <si>
    <t>CAROL CHILIMO</t>
  </si>
  <si>
    <t>CATHERINE MALAMA</t>
  </si>
  <si>
    <t>CATHRINE CHIYESU</t>
  </si>
  <si>
    <t>CECILIA KUNDA</t>
  </si>
  <si>
    <t>NOT CLEARED</t>
  </si>
  <si>
    <t>CONSTANCE MAKUMBA</t>
  </si>
  <si>
    <t>DEBRA MASONGO</t>
  </si>
  <si>
    <t>DELIA KAWECHE</t>
  </si>
  <si>
    <t>DORIS NALUNGWE</t>
  </si>
  <si>
    <t>ELIZABETH MWAMBA</t>
  </si>
  <si>
    <t>EMMANUEL SHAMENDE</t>
  </si>
  <si>
    <t>GIFT MWENYA</t>
  </si>
  <si>
    <t>GRACE MUMBA</t>
  </si>
  <si>
    <t>HENRIETER KALUNGA</t>
  </si>
  <si>
    <t>IREEN LUNGU</t>
  </si>
  <si>
    <t>JESSY SAMINGANJA</t>
  </si>
  <si>
    <t>JOY NYAMITA TEMBO</t>
  </si>
  <si>
    <t>KALABA BERTHA</t>
  </si>
  <si>
    <t>LISTER MULENGA</t>
  </si>
  <si>
    <t>LUCY MUKOSHA</t>
  </si>
  <si>
    <t>MABLE BWALYA</t>
  </si>
  <si>
    <t>MEMORY CHIKANYA</t>
  </si>
  <si>
    <t>MERCY MAPULANGA</t>
  </si>
  <si>
    <t>MERCY SAASA</t>
  </si>
  <si>
    <t>MIRRIAM PHIRI</t>
  </si>
  <si>
    <t>MWEWA KAPWEPWE</t>
  </si>
  <si>
    <t>NATASHA CHAMA</t>
  </si>
  <si>
    <t>NORIAH MULENGA</t>
  </si>
  <si>
    <t>PELEKELO SITALI</t>
  </si>
  <si>
    <t>PRINCESS MWELWA</t>
  </si>
  <si>
    <t>PRISCA MWIKA</t>
  </si>
  <si>
    <t>QUEEN KALUBA</t>
  </si>
  <si>
    <t>RACHEAL SINJABU</t>
  </si>
  <si>
    <t>SANDRA MWAPE</t>
  </si>
  <si>
    <t>SARA CHILEKWA</t>
  </si>
  <si>
    <t>TIZIBENJI KWABE</t>
  </si>
  <si>
    <t>VASI SAKALA</t>
  </si>
  <si>
    <t>RUTH MUKENAMO</t>
  </si>
  <si>
    <t>WENDY NAMONJE</t>
  </si>
  <si>
    <t>CECILIA CHELLAH</t>
  </si>
  <si>
    <t>HARRIET KALENGA</t>
  </si>
  <si>
    <t>MET ENTRY QUALIFICATIONS AND INDEXED</t>
  </si>
  <si>
    <t>MET ENTRY QUALIFICATIONS BUT NOT INDEXED</t>
  </si>
  <si>
    <t>NOT MET ENTRY QUALIFICATIONS AND NOT INDEXED</t>
  </si>
  <si>
    <t>RN7</t>
  </si>
  <si>
    <t>SURNAME</t>
  </si>
  <si>
    <t>NMCZ INDEX STATUS</t>
  </si>
  <si>
    <t>ACCOUNTS REMARKS</t>
  </si>
  <si>
    <t>NOTE</t>
  </si>
  <si>
    <t>NOT UPLOADED</t>
  </si>
  <si>
    <t>NOT MEET QUALI</t>
  </si>
  <si>
    <t>MUSAKALU</t>
  </si>
  <si>
    <t>BWALYA</t>
  </si>
  <si>
    <t>KAMBOLE</t>
  </si>
  <si>
    <t>NYIRENDA</t>
  </si>
  <si>
    <t xml:space="preserve">NYANGULU </t>
  </si>
  <si>
    <t>BANDA</t>
  </si>
  <si>
    <t>FAITH</t>
  </si>
  <si>
    <t>CHANDA</t>
  </si>
  <si>
    <t>PHIRI</t>
  </si>
  <si>
    <t>MUSONDA</t>
  </si>
  <si>
    <t>CHUNGA</t>
  </si>
  <si>
    <t>KABWE</t>
  </si>
  <si>
    <t xml:space="preserve">CHAPEWA </t>
  </si>
  <si>
    <t xml:space="preserve">LETICIA  </t>
  </si>
  <si>
    <t>CLEOPATRA</t>
  </si>
  <si>
    <t>MET QUALI DATE</t>
  </si>
  <si>
    <t>RN5</t>
  </si>
  <si>
    <t>FULL NAMES</t>
  </si>
  <si>
    <t>SCHOOL RESULTS STATUS</t>
  </si>
  <si>
    <t>NOTES</t>
  </si>
  <si>
    <t>BWALYA MWITWA</t>
  </si>
  <si>
    <t>uploaded</t>
  </si>
  <si>
    <t>PENALTY</t>
  </si>
  <si>
    <t>292557/68/1</t>
  </si>
  <si>
    <t>bwalyamwitwa6@gmail.com</t>
  </si>
  <si>
    <t>CHAMA MATIPA</t>
  </si>
  <si>
    <t>MEET ENTRY QUA</t>
  </si>
  <si>
    <t>428742/65/1</t>
  </si>
  <si>
    <t>chamamatipa68@gmail.com</t>
  </si>
  <si>
    <t>CHENGA TINA</t>
  </si>
  <si>
    <t>572133/67/1</t>
  </si>
  <si>
    <t>tinachenga6@gmail.com</t>
  </si>
  <si>
    <t>CHIBANGE JOSELINE</t>
  </si>
  <si>
    <t>326072/12/1</t>
  </si>
  <si>
    <t>joselinechibange@gmail.com</t>
  </si>
  <si>
    <t>CHRISTINE NAKAMBA</t>
  </si>
  <si>
    <t>252096/18/1</t>
  </si>
  <si>
    <t>christnakamba27@gmail.com</t>
  </si>
  <si>
    <t>ESTHER LOMBE</t>
  </si>
  <si>
    <t>214807/10/1</t>
  </si>
  <si>
    <t>estherlombe678@gmail.com</t>
  </si>
  <si>
    <t>EXILDAH MWIINGA</t>
  </si>
  <si>
    <t>699310/52/1</t>
  </si>
  <si>
    <t>exildahmwiinga99@gmail.com</t>
  </si>
  <si>
    <t>FLORENCE MOTELA</t>
  </si>
  <si>
    <t>330260/64/1</t>
  </si>
  <si>
    <t>motelaflorence03@gmail.com</t>
  </si>
  <si>
    <t>GOESWEL MWILA</t>
  </si>
  <si>
    <t>255303/41/1</t>
  </si>
  <si>
    <t>goeswelmwila02@gmail.com</t>
  </si>
  <si>
    <t>HANYOOLO PRECIOUS</t>
  </si>
  <si>
    <t>101596/20/1/1</t>
  </si>
  <si>
    <t>hanyololuyando@gmail.com</t>
  </si>
  <si>
    <t>JACKSON MULENGA</t>
  </si>
  <si>
    <t>392690/64/1</t>
  </si>
  <si>
    <t>sparrohiggins@gmail.com</t>
  </si>
  <si>
    <t>LUNGU TRUST</t>
  </si>
  <si>
    <t>400971/66/1</t>
  </si>
  <si>
    <t>trustlungu52@gmail.com</t>
  </si>
  <si>
    <t>MARY C NGOSA</t>
  </si>
  <si>
    <t>378174/65/1</t>
  </si>
  <si>
    <t>chongomary877@gmail.com</t>
  </si>
  <si>
    <t>MARY CHIKOMBA</t>
  </si>
  <si>
    <t>311131/66/1</t>
  </si>
  <si>
    <t>marychikomba865@gmail.com</t>
  </si>
  <si>
    <t>MARY YOMBWE</t>
  </si>
  <si>
    <t>383199/64/1</t>
  </si>
  <si>
    <t>maryyombwe7@gmail.com</t>
  </si>
  <si>
    <t>MASHITA MIKE</t>
  </si>
  <si>
    <t>640451/67/1</t>
  </si>
  <si>
    <t>mikemashita1@gmail.com</t>
  </si>
  <si>
    <t>PETRONELA MOTOKA</t>
  </si>
  <si>
    <t>3509940/65/1</t>
  </si>
  <si>
    <t>nellamomo628@gmail.com</t>
  </si>
  <si>
    <t>MPUNDU MISTILA</t>
  </si>
  <si>
    <t>288504/44/1</t>
  </si>
  <si>
    <t>mpundumistila@gmail.com</t>
  </si>
  <si>
    <t>MUSONDA MUSONDA</t>
  </si>
  <si>
    <t>649406/67/1</t>
  </si>
  <si>
    <t>muzomusonda673@gmail.com</t>
  </si>
  <si>
    <t>MUSONDA SONGWE</t>
  </si>
  <si>
    <t>232713/35/1</t>
  </si>
  <si>
    <t>songwemusonda33@gmail.com</t>
  </si>
  <si>
    <t>MWAKA NYIMBILI</t>
  </si>
  <si>
    <t>328754/62/1</t>
  </si>
  <si>
    <t>mwakanyimbili123@gmail.com</t>
  </si>
  <si>
    <t>MWAPE NAOMI</t>
  </si>
  <si>
    <t>533278/67/1</t>
  </si>
  <si>
    <t>naomilwanga1@gmail.com</t>
  </si>
  <si>
    <t>EDDIA MWILA</t>
  </si>
  <si>
    <t>652446/67/1</t>
  </si>
  <si>
    <t>mwilaeddia8@gmail.com</t>
  </si>
  <si>
    <t>NAOMI KAISA</t>
  </si>
  <si>
    <t>306669/62/1</t>
  </si>
  <si>
    <t>kaisahnaomy93@gmail.com</t>
  </si>
  <si>
    <t>NIVEA KUNDA</t>
  </si>
  <si>
    <t>245619/12/1</t>
  </si>
  <si>
    <t>chichikundamusonda@gmail.com</t>
  </si>
  <si>
    <t>ROSEMARY MUSHENETI</t>
  </si>
  <si>
    <t>22-336665 H22</t>
  </si>
  <si>
    <t>SIMON MATONGE</t>
  </si>
  <si>
    <t>427516/16/1</t>
  </si>
  <si>
    <t>simonmatonge3@gmail.com</t>
  </si>
  <si>
    <t>TAMARA NYIMBILI</t>
  </si>
  <si>
    <t>tamaranyimbili03@gmail.com</t>
  </si>
  <si>
    <t>VIOLET BANDA</t>
  </si>
  <si>
    <t>437772/67/1</t>
  </si>
  <si>
    <t>violetbandakawena@gmail.com</t>
  </si>
  <si>
    <t>HELLEN MULENGA</t>
  </si>
  <si>
    <t>PRIDE MULUBWA</t>
  </si>
  <si>
    <t>UPOADED</t>
  </si>
  <si>
    <t>RN5 ALL STUDENTS</t>
  </si>
  <si>
    <t>FIRSTNAME</t>
  </si>
  <si>
    <t>MUTINTA</t>
  </si>
  <si>
    <t>CHARITY</t>
  </si>
  <si>
    <t>SHELLY</t>
  </si>
  <si>
    <t>MAYIMUNA</t>
  </si>
  <si>
    <t>MELLAN</t>
  </si>
  <si>
    <t>NANCY</t>
  </si>
  <si>
    <t>SALOME</t>
  </si>
  <si>
    <t xml:space="preserve">PATIENCE </t>
  </si>
  <si>
    <t xml:space="preserve">CATHERINE </t>
  </si>
  <si>
    <t xml:space="preserve">ESTHER </t>
  </si>
  <si>
    <t>MBEWE</t>
  </si>
  <si>
    <t xml:space="preserve">FAITH </t>
  </si>
  <si>
    <t>NOT MET QUALIFICATIONS AND NOT INDEXED</t>
  </si>
  <si>
    <t>RN6</t>
  </si>
  <si>
    <t>Adistaness Malama</t>
  </si>
  <si>
    <t>639652/67/1</t>
  </si>
  <si>
    <t>adistanessmalama@gmail.com</t>
  </si>
  <si>
    <t>Besnart Daka</t>
  </si>
  <si>
    <t>632936/67/1</t>
  </si>
  <si>
    <t>bdaka424@gmail.com</t>
  </si>
  <si>
    <t>Bridget Lubango</t>
  </si>
  <si>
    <t>602620/67/1</t>
  </si>
  <si>
    <t>lubangobridget@gmail.com</t>
  </si>
  <si>
    <t>Cecilia Sibanda</t>
  </si>
  <si>
    <t>355450/17/1</t>
  </si>
  <si>
    <t>ceciliasibanda216@gmail.com</t>
  </si>
  <si>
    <t>Edith Nambela</t>
  </si>
  <si>
    <t>531442/67/1</t>
  </si>
  <si>
    <t>nambelaedith19@gmail.com</t>
  </si>
  <si>
    <t>Eness .M. Mulenga</t>
  </si>
  <si>
    <t>656418/67/1</t>
  </si>
  <si>
    <t>hennessymulenga241@gmail.com</t>
  </si>
  <si>
    <t>Ethel Chiwafwa</t>
  </si>
  <si>
    <t>603247/67/1</t>
  </si>
  <si>
    <t>etheltarachiwafwa@gmail.com</t>
  </si>
  <si>
    <t>GLORY PHIRI</t>
  </si>
  <si>
    <t>192515/56/1</t>
  </si>
  <si>
    <t>phiriglory082@gmail.com</t>
  </si>
  <si>
    <t>Hellen Chishimba</t>
  </si>
  <si>
    <t>605619/67/1</t>
  </si>
  <si>
    <t>chishimbahellen46@gmail.com</t>
  </si>
  <si>
    <t>Hope  Mwape</t>
  </si>
  <si>
    <t>348995/64/1</t>
  </si>
  <si>
    <t>meyamwape@gmail.com</t>
  </si>
  <si>
    <t>Jacklyn  Longwani</t>
  </si>
  <si>
    <t>345983/65/1</t>
  </si>
  <si>
    <t>longwanijacklyn@icloud.com</t>
  </si>
  <si>
    <t>Jane Nyika</t>
  </si>
  <si>
    <t>12- 17725 W12</t>
  </si>
  <si>
    <t>Jane Singogo</t>
  </si>
  <si>
    <t>585836/67/1</t>
  </si>
  <si>
    <t>singogojane60@gmail.com</t>
  </si>
  <si>
    <t>Maria    Mbunji</t>
  </si>
  <si>
    <t>648595/67/1</t>
  </si>
  <si>
    <t>mariahmbunji01@gmail.com</t>
  </si>
  <si>
    <t>Mercy Namwase</t>
  </si>
  <si>
    <t>401326/65/1</t>
  </si>
  <si>
    <t>mercynamwase1@gmail.com</t>
  </si>
  <si>
    <t>Natasha Nyangu</t>
  </si>
  <si>
    <t>380416/64/1</t>
  </si>
  <si>
    <t>nyangunatasha700@gmail.com</t>
  </si>
  <si>
    <t>Samantha  Goss</t>
  </si>
  <si>
    <t>237989/65/1</t>
  </si>
  <si>
    <t>samanthagoss6@gmail.com</t>
  </si>
  <si>
    <t>Suwilanji  Kalunga</t>
  </si>
  <si>
    <t>652553/67/1</t>
  </si>
  <si>
    <t>kalungasuwilanji1@gmail.com</t>
  </si>
  <si>
    <t>Moses Mbesha</t>
  </si>
  <si>
    <t>392515/43/1</t>
  </si>
  <si>
    <t>mbeshamoses@gmail.com</t>
  </si>
  <si>
    <t>lilian phiri</t>
  </si>
  <si>
    <t>419473/61/1</t>
  </si>
  <si>
    <t>phirililian140@gmail.com</t>
  </si>
  <si>
    <t>TOTAL</t>
  </si>
  <si>
    <t xml:space="preserve">BERTHA </t>
  </si>
  <si>
    <t>Charity</t>
  </si>
  <si>
    <t xml:space="preserve">Charity </t>
  </si>
  <si>
    <t xml:space="preserve">Christine </t>
  </si>
  <si>
    <t xml:space="preserve">Diana </t>
  </si>
  <si>
    <t>Emma</t>
  </si>
  <si>
    <t xml:space="preserve">John </t>
  </si>
  <si>
    <t>Kunda</t>
  </si>
  <si>
    <t>Margret</t>
  </si>
  <si>
    <t xml:space="preserve">MARTH </t>
  </si>
  <si>
    <t xml:space="preserve">Mwila </t>
  </si>
  <si>
    <t>Natalie</t>
  </si>
  <si>
    <t>Neria</t>
  </si>
  <si>
    <t>Sante</t>
  </si>
  <si>
    <t>Selan</t>
  </si>
  <si>
    <t>Wanipa</t>
  </si>
  <si>
    <t>CHANDA KAYULA</t>
  </si>
  <si>
    <t>NOT PAID</t>
  </si>
  <si>
    <t>397261/65/1</t>
  </si>
  <si>
    <t>chandakayula8@gmail.com</t>
  </si>
  <si>
    <t>JOAN MWENYA</t>
  </si>
  <si>
    <t>360235/66/1</t>
  </si>
  <si>
    <t>mwenyajoan94@gmail.com</t>
  </si>
  <si>
    <t xml:space="preserve">KAMAU HAZIA PETULU </t>
  </si>
  <si>
    <t>276483/23/1</t>
  </si>
  <si>
    <t>haziapetulukamau@gmail.com</t>
  </si>
  <si>
    <t>PATIENCE PENGE</t>
  </si>
  <si>
    <t>454545/16/1</t>
  </si>
  <si>
    <t>patiencepenge05@gmail.com</t>
  </si>
  <si>
    <t>BEATRICE CHULU</t>
  </si>
  <si>
    <t>807017/52/1</t>
  </si>
  <si>
    <t>beatricechulu2.@gmail.com</t>
  </si>
  <si>
    <t>RN-7 ALL STUDENTS</t>
  </si>
  <si>
    <t xml:space="preserve">CHILUFYA </t>
  </si>
  <si>
    <t xml:space="preserve">MIRRIAM </t>
  </si>
  <si>
    <t xml:space="preserve">MONICA </t>
  </si>
  <si>
    <t>LOVENESS</t>
  </si>
  <si>
    <t xml:space="preserve">HILDAH </t>
  </si>
  <si>
    <t>GETRUDE</t>
  </si>
  <si>
    <t>CHINYOSHA</t>
  </si>
  <si>
    <t>AGAPE</t>
  </si>
  <si>
    <t xml:space="preserve">ANGELA </t>
  </si>
  <si>
    <t>DILAN</t>
  </si>
  <si>
    <t xml:space="preserve">MAPALO </t>
  </si>
  <si>
    <t>ESTHER</t>
  </si>
  <si>
    <t>364 PAID</t>
  </si>
  <si>
    <t>RN8</t>
  </si>
  <si>
    <t>ALINJAVWA</t>
  </si>
  <si>
    <t>GONDWE</t>
  </si>
  <si>
    <t xml:space="preserve">ANNA </t>
  </si>
  <si>
    <t>MUMBA KALUNMBA</t>
  </si>
  <si>
    <t>BENJAMIN</t>
  </si>
  <si>
    <t>BWEUPE</t>
  </si>
  <si>
    <t>KAPANGALA</t>
  </si>
  <si>
    <t>MULENGA</t>
  </si>
  <si>
    <t>DOROTHY</t>
  </si>
  <si>
    <t>CHIPAMPE</t>
  </si>
  <si>
    <t>FLORENCE</t>
  </si>
  <si>
    <t>MWALE</t>
  </si>
  <si>
    <t>HOPE</t>
  </si>
  <si>
    <t>MUBANGA</t>
  </si>
  <si>
    <t>JOYCE</t>
  </si>
  <si>
    <t>MULUBWE</t>
  </si>
  <si>
    <t>MEMORY</t>
  </si>
  <si>
    <t>MERCY</t>
  </si>
  <si>
    <t>CHAMA</t>
  </si>
  <si>
    <t>MILIKAH</t>
  </si>
  <si>
    <t>MIRRIAM</t>
  </si>
  <si>
    <t>KISHOMBE</t>
  </si>
  <si>
    <t>MULONDA</t>
  </si>
  <si>
    <t>PATIENCE</t>
  </si>
  <si>
    <t>MUKUNSA</t>
  </si>
  <si>
    <t>PEGGY</t>
  </si>
  <si>
    <t>HAMWEETE</t>
  </si>
  <si>
    <t>PURITY</t>
  </si>
  <si>
    <t>SALIFYANJI</t>
  </si>
  <si>
    <t>NALUNGWE</t>
  </si>
  <si>
    <t>SERAH</t>
  </si>
  <si>
    <t>SOPHIA</t>
  </si>
  <si>
    <t>LUNDA</t>
  </si>
  <si>
    <t xml:space="preserve">TAONGA </t>
  </si>
  <si>
    <t>CHAPENUKA</t>
  </si>
  <si>
    <t>ZULU</t>
  </si>
  <si>
    <t>LUNGU</t>
  </si>
  <si>
    <t>THELMA</t>
  </si>
  <si>
    <t>MWANZA</t>
  </si>
  <si>
    <t>TIZA</t>
  </si>
  <si>
    <t>REMARKS</t>
  </si>
  <si>
    <t>QUEEN MUSONDA</t>
  </si>
  <si>
    <t>AGNESS NKANDU</t>
  </si>
  <si>
    <t>BERTHA CHIBUYE</t>
  </si>
  <si>
    <t>AGNESS CHIMFWEMBE</t>
  </si>
  <si>
    <t>ZIMBA FRIDAH</t>
  </si>
  <si>
    <t>JESSICA NYELETI</t>
  </si>
  <si>
    <t>FOSTINA CHABU</t>
  </si>
  <si>
    <t>GRACE MUBAMBE</t>
  </si>
  <si>
    <t>KABASO CHANDA</t>
  </si>
  <si>
    <t>CLASS</t>
  </si>
  <si>
    <t>364 GNC PAID</t>
  </si>
  <si>
    <t>TOTAL FEE EXPECTED</t>
  </si>
  <si>
    <t>TOTAL FOR CLASSES</t>
  </si>
  <si>
    <t>MET QUALIFICATIONS AND INDEXED</t>
  </si>
  <si>
    <t>SUMMARY FEES FOR CLEAN STUDENTS</t>
  </si>
  <si>
    <t>SUMMARY FEES FOR UNCLEAN STUDENTS</t>
  </si>
  <si>
    <t>219125/48/1</t>
  </si>
  <si>
    <t>mu28lenga@gmail.com</t>
  </si>
  <si>
    <t>CLEARED IN 2022</t>
  </si>
  <si>
    <t>CLEARED IN 2020</t>
  </si>
  <si>
    <t>CLEARED IN 2021</t>
  </si>
  <si>
    <t>CLEARED IN 2024</t>
  </si>
  <si>
    <t>RN4/ 3,2</t>
  </si>
  <si>
    <t>RN5/ 3,1</t>
  </si>
  <si>
    <t>RN6/ 2,2</t>
  </si>
  <si>
    <t>RN7/ 2,1</t>
  </si>
  <si>
    <t>RN8/ 1,2</t>
  </si>
  <si>
    <t>CLEARED IN 2016</t>
  </si>
  <si>
    <t>CLEARED IN 2013</t>
  </si>
  <si>
    <t>pridemulubwa@gmail.com</t>
  </si>
  <si>
    <t>376420/66/1</t>
  </si>
  <si>
    <t>NOT MET</t>
  </si>
  <si>
    <t>nyikajane026@gmail.com</t>
  </si>
  <si>
    <t>met entry quali</t>
  </si>
  <si>
    <t>MIDAH</t>
  </si>
  <si>
    <t>SAITI</t>
  </si>
  <si>
    <t xml:space="preserve">IREEN </t>
  </si>
  <si>
    <t>MOFYA</t>
  </si>
  <si>
    <t>RITA</t>
  </si>
  <si>
    <t>BARBRA</t>
  </si>
  <si>
    <t>DORIS</t>
  </si>
  <si>
    <t>midahsaiti01@gmail.com</t>
  </si>
  <si>
    <t>370457/67/1</t>
  </si>
  <si>
    <t>mushenetir@gmail.com</t>
  </si>
  <si>
    <t>FAITH FYANTONTO</t>
  </si>
  <si>
    <t>mulengadoris00@gmail.com</t>
  </si>
  <si>
    <t>513799/67/1</t>
  </si>
  <si>
    <t>Barbramusonda30@gmail.com</t>
  </si>
  <si>
    <t>675261/67/1</t>
  </si>
  <si>
    <t>rhitabanda06@gmail.com</t>
  </si>
  <si>
    <t>406184/66/1</t>
  </si>
  <si>
    <t>mofyaireen77@gmail.com</t>
  </si>
  <si>
    <t>666464/67/1</t>
  </si>
  <si>
    <t>rn4</t>
  </si>
  <si>
    <t>2,2</t>
  </si>
  <si>
    <t>MET QUALIFI DATE</t>
  </si>
  <si>
    <t>30 TH OCTOBER 2025 DUE DATE FOR MAKING PAYMENTS</t>
  </si>
  <si>
    <t>Lisa Kawina</t>
  </si>
  <si>
    <t>566507/61/1</t>
  </si>
  <si>
    <t>lisakawina950@gmail.com</t>
  </si>
  <si>
    <t>CHARITY MALAMA</t>
  </si>
  <si>
    <t>HELLEN MWININA</t>
  </si>
  <si>
    <t>,</t>
  </si>
  <si>
    <t>KASONDE BWALYA</t>
  </si>
  <si>
    <t>SAMUEL CHILUFYA</t>
  </si>
  <si>
    <t>CLEARED IN 2025</t>
  </si>
  <si>
    <t xml:space="preserve"> INDEXED</t>
  </si>
  <si>
    <t>MWENYA KALUNGA</t>
  </si>
  <si>
    <t>MULILO</t>
  </si>
  <si>
    <t>CHISHALA</t>
  </si>
  <si>
    <t>KABASO</t>
  </si>
  <si>
    <t>KASONGO</t>
  </si>
  <si>
    <t>DAKA</t>
  </si>
  <si>
    <t>CHILEYA</t>
  </si>
  <si>
    <t>KABALU</t>
  </si>
  <si>
    <t>MULAISHO</t>
  </si>
  <si>
    <t>MWITWA</t>
  </si>
  <si>
    <t>KALUNGA</t>
  </si>
  <si>
    <t>LUKWESA</t>
  </si>
  <si>
    <t>MWENDA</t>
  </si>
  <si>
    <t>NKWAMBANA</t>
  </si>
  <si>
    <t>MULAKU</t>
  </si>
  <si>
    <t>WROTE EXAM</t>
  </si>
  <si>
    <t>CHIYANGI</t>
  </si>
  <si>
    <t>MAJORY MUCHIMBA</t>
  </si>
  <si>
    <t>AGNESS</t>
  </si>
  <si>
    <t>CONTACT</t>
  </si>
  <si>
    <t xml:space="preserve">CONTACT </t>
  </si>
  <si>
    <t>ALICE CHUNDA</t>
  </si>
  <si>
    <t>ADDITIONAL PENALTY</t>
  </si>
  <si>
    <t>MERANDA NSOKOLO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</si>
</sst>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ahnschrift SemiCondensed"/>
      <family val="2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rgb="FF0070C0"/>
      <name val="Arial Black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0"/>
      <color rgb="FF0070C0"/>
      <name val="Arial Black"/>
      <family val="2"/>
    </font>
    <font>
      <sz val="9"/>
      <color rgb="FF0070C0"/>
      <name val="Arial Black"/>
      <family val="2"/>
    </font>
    <font>
      <sz val="8"/>
      <color rgb="FF0070C0"/>
      <name val="Arial Black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0"/>
      <color rgb="FF0070C0"/>
      <name val="Arial Black"/>
      <family val="2"/>
    </font>
    <font>
      <b/>
      <sz val="9"/>
      <color rgb="FF0070C0"/>
      <name val="Arial Black"/>
      <family val="2"/>
    </font>
    <font>
      <b/>
      <sz val="8"/>
      <color rgb="FF0070C0"/>
      <name val="Arial Black"/>
      <family val="2"/>
    </font>
    <font>
      <sz val="9"/>
      <color theme="1"/>
      <name val="Calibri"/>
      <family val="2"/>
      <scheme val="minor"/>
    </font>
    <font>
      <sz val="28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8" xfId="0" applyFont="1" applyBorder="1"/>
    <xf numFmtId="0" fontId="9" fillId="0" borderId="1" xfId="0" applyFont="1" applyBorder="1"/>
    <xf numFmtId="0" fontId="0" fillId="0" borderId="15" xfId="0" applyBorder="1"/>
    <xf numFmtId="0" fontId="0" fillId="0" borderId="20" xfId="0" applyBorder="1"/>
    <xf numFmtId="0" fontId="6" fillId="0" borderId="0" xfId="0" applyFont="1"/>
    <xf numFmtId="0" fontId="0" fillId="0" borderId="7" xfId="0" applyBorder="1"/>
    <xf numFmtId="0" fontId="3" fillId="0" borderId="0" xfId="0" applyFont="1" applyAlignment="1">
      <alignment horizontal="center"/>
    </xf>
    <xf numFmtId="0" fontId="7" fillId="0" borderId="7" xfId="0" applyFont="1" applyBorder="1"/>
    <xf numFmtId="0" fontId="0" fillId="0" borderId="13" xfId="0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0" borderId="1" xfId="0" applyFont="1" applyBorder="1"/>
    <xf numFmtId="0" fontId="10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8" fillId="0" borderId="15" xfId="0" applyFont="1" applyBorder="1"/>
    <xf numFmtId="0" fontId="4" fillId="0" borderId="15" xfId="0" applyFont="1" applyBorder="1"/>
    <xf numFmtId="0" fontId="5" fillId="0" borderId="16" xfId="0" applyFont="1" applyBorder="1"/>
    <xf numFmtId="0" fontId="10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13" fillId="0" borderId="9" xfId="0" applyFont="1" applyBorder="1"/>
    <xf numFmtId="0" fontId="0" fillId="0" borderId="16" xfId="0" applyBorder="1"/>
    <xf numFmtId="0" fontId="0" fillId="0" borderId="18" xfId="0" applyBorder="1"/>
    <xf numFmtId="0" fontId="4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4" xfId="0" applyBorder="1"/>
    <xf numFmtId="43" fontId="0" fillId="0" borderId="0" xfId="1" applyFont="1"/>
    <xf numFmtId="0" fontId="7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8" xfId="0" applyFont="1" applyBorder="1"/>
    <xf numFmtId="0" fontId="0" fillId="0" borderId="17" xfId="0" applyBorder="1" applyAlignment="1">
      <alignment horizontal="center"/>
    </xf>
    <xf numFmtId="0" fontId="0" fillId="0" borderId="9" xfId="0" applyBorder="1"/>
    <xf numFmtId="0" fontId="15" fillId="0" borderId="8" xfId="0" applyFont="1" applyBorder="1" applyAlignment="1">
      <alignment horizontal="left"/>
    </xf>
    <xf numFmtId="0" fontId="15" fillId="0" borderId="9" xfId="0" applyFont="1" applyBorder="1"/>
    <xf numFmtId="0" fontId="18" fillId="0" borderId="0" xfId="0" applyFont="1"/>
    <xf numFmtId="0" fontId="2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/>
    <xf numFmtId="0" fontId="4" fillId="0" borderId="1" xfId="0" applyFont="1" applyBorder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0" xfId="0" applyFont="1"/>
    <xf numFmtId="0" fontId="0" fillId="0" borderId="17" xfId="0" applyBorder="1"/>
    <xf numFmtId="0" fontId="0" fillId="0" borderId="19" xfId="0" applyBorder="1"/>
    <xf numFmtId="0" fontId="4" fillId="0" borderId="14" xfId="0" applyFont="1" applyBorder="1"/>
    <xf numFmtId="0" fontId="23" fillId="0" borderId="18" xfId="2" applyBorder="1"/>
    <xf numFmtId="0" fontId="15" fillId="0" borderId="10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23" xfId="0" applyBorder="1"/>
    <xf numFmtId="0" fontId="0" fillId="0" borderId="28" xfId="0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/>
    <xf numFmtId="0" fontId="16" fillId="0" borderId="13" xfId="0" applyFont="1" applyBorder="1"/>
    <xf numFmtId="0" fontId="12" fillId="0" borderId="17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left"/>
    </xf>
    <xf numFmtId="0" fontId="1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left"/>
    </xf>
    <xf numFmtId="0" fontId="14" fillId="0" borderId="2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3" fontId="8" fillId="0" borderId="5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0" fontId="7" fillId="0" borderId="17" xfId="0" applyFont="1" applyBorder="1"/>
    <xf numFmtId="0" fontId="25" fillId="0" borderId="3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5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7" fillId="0" borderId="23" xfId="0" applyFont="1" applyBorder="1"/>
    <xf numFmtId="0" fontId="7" fillId="0" borderId="28" xfId="0" applyFont="1" applyBorder="1"/>
    <xf numFmtId="0" fontId="8" fillId="0" borderId="29" xfId="0" applyFont="1" applyBorder="1"/>
    <xf numFmtId="0" fontId="7" fillId="0" borderId="22" xfId="0" applyFont="1" applyBorder="1"/>
    <xf numFmtId="0" fontId="7" fillId="0" borderId="2" xfId="0" applyFont="1" applyBorder="1"/>
    <xf numFmtId="0" fontId="7" fillId="0" borderId="30" xfId="0" applyFont="1" applyBorder="1"/>
    <xf numFmtId="0" fontId="16" fillId="0" borderId="11" xfId="0" applyFont="1" applyBorder="1"/>
    <xf numFmtId="0" fontId="7" fillId="0" borderId="7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25" fillId="0" borderId="11" xfId="0" applyFont="1" applyBorder="1"/>
    <xf numFmtId="0" fontId="25" fillId="0" borderId="12" xfId="0" applyFont="1" applyBorder="1"/>
    <xf numFmtId="0" fontId="25" fillId="0" borderId="13" xfId="0" applyFont="1" applyBorder="1"/>
    <xf numFmtId="0" fontId="8" fillId="0" borderId="8" xfId="0" applyFont="1" applyBorder="1"/>
    <xf numFmtId="0" fontId="8" fillId="0" borderId="5" xfId="0" quotePrefix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43" fontId="0" fillId="0" borderId="5" xfId="1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/>
    <xf numFmtId="0" fontId="24" fillId="0" borderId="8" xfId="0" applyFont="1" applyBorder="1" applyAlignment="1">
      <alignment horizontal="left"/>
    </xf>
    <xf numFmtId="0" fontId="24" fillId="0" borderId="9" xfId="0" applyFont="1" applyBorder="1"/>
    <xf numFmtId="0" fontId="12" fillId="0" borderId="25" xfId="0" applyFont="1" applyBorder="1" applyAlignment="1">
      <alignment horizontal="center"/>
    </xf>
    <xf numFmtId="0" fontId="12" fillId="0" borderId="26" xfId="0" applyFont="1" applyBorder="1"/>
    <xf numFmtId="0" fontId="12" fillId="0" borderId="26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9" fillId="0" borderId="6" xfId="0" applyFont="1" applyBorder="1"/>
    <xf numFmtId="0" fontId="12" fillId="0" borderId="23" xfId="0" applyFont="1" applyBorder="1" applyAlignment="1">
      <alignment horizontal="center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2" fillId="0" borderId="5" xfId="0" quotePrefix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28" xfId="0" applyFont="1" applyBorder="1"/>
    <xf numFmtId="0" fontId="8" fillId="0" borderId="4" xfId="0" applyFont="1" applyBorder="1" applyAlignment="1">
      <alignment horizontal="center"/>
    </xf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43" fontId="8" fillId="0" borderId="9" xfId="1" applyFont="1" applyBorder="1" applyAlignment="1">
      <alignment horizontal="center"/>
    </xf>
    <xf numFmtId="0" fontId="11" fillId="0" borderId="10" xfId="0" applyFont="1" applyBorder="1"/>
    <xf numFmtId="43" fontId="0" fillId="0" borderId="7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43" fontId="0" fillId="0" borderId="5" xfId="0" applyNumberFormat="1" applyBorder="1" applyAlignment="1">
      <alignment horizontal="center"/>
    </xf>
    <xf numFmtId="43" fontId="0" fillId="0" borderId="20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0" fontId="0" fillId="0" borderId="30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43" fontId="0" fillId="0" borderId="28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0" fontId="0" fillId="0" borderId="27" xfId="1" applyNumberFormat="1" applyFont="1" applyBorder="1" applyAlignment="1">
      <alignment horizontal="center"/>
    </xf>
    <xf numFmtId="43" fontId="0" fillId="0" borderId="10" xfId="0" applyNumberForma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7" xfId="0" applyFont="1" applyBorder="1"/>
    <xf numFmtId="0" fontId="0" fillId="0" borderId="8" xfId="0" applyBorder="1" applyAlignment="1">
      <alignment horizontal="center"/>
    </xf>
    <xf numFmtId="43" fontId="0" fillId="0" borderId="9" xfId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7" fillId="0" borderId="10" xfId="0" applyFont="1" applyBorder="1"/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8" fillId="0" borderId="36" xfId="0" applyFont="1" applyBorder="1"/>
    <xf numFmtId="0" fontId="27" fillId="0" borderId="0" xfId="0" applyFont="1"/>
    <xf numFmtId="0" fontId="27" fillId="0" borderId="37" xfId="0" applyFont="1" applyBorder="1"/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27" fillId="0" borderId="38" xfId="0" applyFont="1" applyBorder="1"/>
    <xf numFmtId="0" fontId="0" fillId="0" borderId="39" xfId="0" applyBorder="1"/>
    <xf numFmtId="0" fontId="8" fillId="0" borderId="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8" xfId="0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0" fillId="0" borderId="0" xfId="0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43" fontId="8" fillId="0" borderId="5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2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0" fillId="0" borderId="0" xfId="0" applyNumberFormat="1"/>
    <xf numFmtId="43" fontId="4" fillId="0" borderId="0" xfId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6" xfId="0" applyFill="1" applyBorder="1"/>
    <xf numFmtId="0" fontId="0" fillId="3" borderId="1" xfId="0" applyFill="1" applyBorder="1"/>
    <xf numFmtId="0" fontId="0" fillId="0" borderId="20" xfId="0" applyBorder="1" applyAlignment="1">
      <alignment horizontal="center"/>
    </xf>
    <xf numFmtId="0" fontId="11" fillId="3" borderId="20" xfId="0" applyFont="1" applyFill="1" applyBorder="1"/>
    <xf numFmtId="43" fontId="5" fillId="0" borderId="0" xfId="1" applyFont="1" applyAlignment="1">
      <alignment horizontal="center"/>
    </xf>
    <xf numFmtId="43" fontId="8" fillId="0" borderId="0" xfId="1" applyFont="1" applyAlignment="1">
      <alignment horizontal="center"/>
    </xf>
    <xf numFmtId="3" fontId="0" fillId="0" borderId="1" xfId="0" applyNumberFormat="1" applyBorder="1"/>
    <xf numFmtId="0" fontId="4" fillId="0" borderId="22" xfId="0" applyFont="1" applyBorder="1" applyAlignment="1">
      <alignment horizontal="center"/>
    </xf>
    <xf numFmtId="0" fontId="0" fillId="0" borderId="29" xfId="0" applyBorder="1"/>
    <xf numFmtId="0" fontId="4" fillId="0" borderId="3" xfId="0" applyFont="1" applyBorder="1" applyAlignment="1">
      <alignment horizontal="center"/>
    </xf>
    <xf numFmtId="0" fontId="0" fillId="0" borderId="24" xfId="0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mushenetir@gmail.com" TargetMode="External"/><Relationship Id="rId1" Type="http://schemas.openxmlformats.org/officeDocument/2006/relationships/hyperlink" Target="mailto:mu28lenga@gmail.com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isakawina950@gmail.com" TargetMode="External"/><Relationship Id="rId1" Type="http://schemas.openxmlformats.org/officeDocument/2006/relationships/hyperlink" Target="mailto:nyikajane026@gmail.com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4"/>
  <sheetViews>
    <sheetView topLeftCell="A49" zoomScale="96" zoomScaleNormal="96" workbookViewId="0">
      <selection activeCell="B59" sqref="B59"/>
    </sheetView>
  </sheetViews>
  <sheetFormatPr defaultRowHeight="15.75" x14ac:dyDescent="0.25"/>
  <cols>
    <col min="1" max="1" width="6.140625" style="13" customWidth="1"/>
    <col min="2" max="2" width="23.5703125" style="9" customWidth="1"/>
    <col min="3" max="3" width="14.42578125" customWidth="1"/>
    <col min="4" max="4" width="12.42578125" style="1" customWidth="1"/>
    <col min="5" max="5" width="13.42578125" style="1" customWidth="1"/>
    <col min="6" max="6" width="20" customWidth="1"/>
    <col min="7" max="7" width="25.42578125" customWidth="1"/>
    <col min="8" max="8" width="16.140625" style="11" customWidth="1"/>
  </cols>
  <sheetData>
    <row r="2" spans="1:8" ht="16.5" thickBot="1" x14ac:dyDescent="0.3">
      <c r="E2" s="42" t="s">
        <v>0</v>
      </c>
    </row>
    <row r="3" spans="1:8" ht="21.75" thickBot="1" x14ac:dyDescent="0.4">
      <c r="A3" s="38" t="s">
        <v>62</v>
      </c>
      <c r="B3" s="39"/>
      <c r="C3" s="5"/>
      <c r="F3" s="1"/>
      <c r="G3" s="1"/>
    </row>
    <row r="4" spans="1:8" s="18" customFormat="1" ht="20.25" thickBot="1" x14ac:dyDescent="0.3">
      <c r="A4" s="94" t="s">
        <v>0</v>
      </c>
      <c r="B4" s="83" t="s">
        <v>1</v>
      </c>
      <c r="C4" s="84" t="s">
        <v>3</v>
      </c>
      <c r="D4" s="84" t="s">
        <v>4</v>
      </c>
      <c r="E4" s="84" t="s">
        <v>5</v>
      </c>
      <c r="F4" s="84" t="s">
        <v>8</v>
      </c>
      <c r="G4" s="157" t="s">
        <v>9</v>
      </c>
      <c r="H4" s="230"/>
    </row>
    <row r="5" spans="1:8" ht="15" x14ac:dyDescent="0.25">
      <c r="A5" s="139"/>
      <c r="B5" s="140"/>
      <c r="C5" s="141"/>
      <c r="D5" s="141"/>
      <c r="E5" s="141"/>
      <c r="F5" s="141"/>
      <c r="G5" s="228" t="s">
        <v>12</v>
      </c>
      <c r="H5" s="140"/>
    </row>
    <row r="6" spans="1:8" ht="15" x14ac:dyDescent="0.25">
      <c r="A6" s="90">
        <v>1</v>
      </c>
      <c r="B6" s="29" t="s">
        <v>13</v>
      </c>
      <c r="C6" s="25" t="s">
        <v>15</v>
      </c>
      <c r="D6" s="25">
        <v>364</v>
      </c>
      <c r="E6" s="25">
        <f t="shared" ref="E6:E20" si="0">640+1860</f>
        <v>2500</v>
      </c>
      <c r="F6" s="25">
        <v>0</v>
      </c>
      <c r="G6" s="28" t="s">
        <v>16</v>
      </c>
      <c r="H6" s="29"/>
    </row>
    <row r="7" spans="1:8" ht="15" x14ac:dyDescent="0.25">
      <c r="A7" s="90">
        <v>2</v>
      </c>
      <c r="B7" s="29" t="s">
        <v>17</v>
      </c>
      <c r="C7" s="25" t="s">
        <v>15</v>
      </c>
      <c r="D7" s="25">
        <v>364</v>
      </c>
      <c r="E7" s="25">
        <f t="shared" si="0"/>
        <v>2500</v>
      </c>
      <c r="F7" s="25">
        <v>0</v>
      </c>
      <c r="G7" s="28" t="s">
        <v>18</v>
      </c>
      <c r="H7" s="29"/>
    </row>
    <row r="8" spans="1:8" ht="15" x14ac:dyDescent="0.25">
      <c r="A8" s="90">
        <v>3</v>
      </c>
      <c r="B8" s="29" t="s">
        <v>21</v>
      </c>
      <c r="C8" s="25" t="s">
        <v>15</v>
      </c>
      <c r="D8" s="25">
        <v>364</v>
      </c>
      <c r="E8" s="25">
        <f t="shared" si="0"/>
        <v>2500</v>
      </c>
      <c r="F8" s="25">
        <v>0</v>
      </c>
      <c r="G8" s="28" t="s">
        <v>18</v>
      </c>
      <c r="H8" s="29"/>
    </row>
    <row r="9" spans="1:8" ht="15" x14ac:dyDescent="0.25">
      <c r="A9" s="90">
        <v>4</v>
      </c>
      <c r="B9" s="29" t="s">
        <v>22</v>
      </c>
      <c r="C9" s="25" t="s">
        <v>15</v>
      </c>
      <c r="D9" s="25">
        <v>364</v>
      </c>
      <c r="E9" s="25">
        <f t="shared" si="0"/>
        <v>2500</v>
      </c>
      <c r="F9" s="25">
        <v>0</v>
      </c>
      <c r="G9" s="28" t="s">
        <v>18</v>
      </c>
      <c r="H9" s="29"/>
    </row>
    <row r="10" spans="1:8" ht="15" x14ac:dyDescent="0.25">
      <c r="A10" s="90">
        <v>5</v>
      </c>
      <c r="B10" s="29" t="s">
        <v>26</v>
      </c>
      <c r="C10" s="25" t="s">
        <v>15</v>
      </c>
      <c r="D10" s="25">
        <v>364</v>
      </c>
      <c r="E10" s="25">
        <f t="shared" si="0"/>
        <v>2500</v>
      </c>
      <c r="F10" s="25">
        <v>0</v>
      </c>
      <c r="G10" s="28" t="s">
        <v>18</v>
      </c>
      <c r="H10" s="29"/>
    </row>
    <row r="11" spans="1:8" ht="15" x14ac:dyDescent="0.25">
      <c r="A11" s="90">
        <v>6</v>
      </c>
      <c r="B11" s="29" t="s">
        <v>27</v>
      </c>
      <c r="C11" s="25" t="s">
        <v>15</v>
      </c>
      <c r="D11" s="25">
        <v>364</v>
      </c>
      <c r="E11" s="25">
        <f t="shared" si="0"/>
        <v>2500</v>
      </c>
      <c r="F11" s="25">
        <v>0</v>
      </c>
      <c r="G11" s="28" t="s">
        <v>18</v>
      </c>
      <c r="H11" s="29"/>
    </row>
    <row r="12" spans="1:8" ht="15" x14ac:dyDescent="0.25">
      <c r="A12" s="90">
        <v>7</v>
      </c>
      <c r="B12" s="29" t="s">
        <v>28</v>
      </c>
      <c r="C12" s="25" t="s">
        <v>15</v>
      </c>
      <c r="D12" s="25">
        <v>364</v>
      </c>
      <c r="E12" s="25">
        <f>640+1800+60</f>
        <v>2500</v>
      </c>
      <c r="F12" s="25">
        <v>0</v>
      </c>
      <c r="G12" s="28" t="s">
        <v>18</v>
      </c>
      <c r="H12" s="29"/>
    </row>
    <row r="13" spans="1:8" ht="15" x14ac:dyDescent="0.25">
      <c r="A13" s="90">
        <v>8</v>
      </c>
      <c r="B13" s="29" t="s">
        <v>29</v>
      </c>
      <c r="C13" s="25" t="s">
        <v>15</v>
      </c>
      <c r="D13" s="25">
        <v>364</v>
      </c>
      <c r="E13" s="25">
        <f t="shared" si="0"/>
        <v>2500</v>
      </c>
      <c r="F13" s="25">
        <v>0</v>
      </c>
      <c r="G13" s="28" t="s">
        <v>18</v>
      </c>
      <c r="H13" s="29"/>
    </row>
    <row r="14" spans="1:8" ht="15" x14ac:dyDescent="0.25">
      <c r="A14" s="90">
        <v>9</v>
      </c>
      <c r="B14" s="29" t="s">
        <v>31</v>
      </c>
      <c r="C14" s="25" t="s">
        <v>15</v>
      </c>
      <c r="D14" s="25">
        <v>364</v>
      </c>
      <c r="E14" s="25">
        <f t="shared" si="0"/>
        <v>2500</v>
      </c>
      <c r="F14" s="25">
        <v>0</v>
      </c>
      <c r="G14" s="28" t="s">
        <v>18</v>
      </c>
      <c r="H14" s="29"/>
    </row>
    <row r="15" spans="1:8" ht="15" x14ac:dyDescent="0.25">
      <c r="A15" s="90">
        <v>10</v>
      </c>
      <c r="B15" s="29" t="s">
        <v>32</v>
      </c>
      <c r="C15" s="25" t="s">
        <v>15</v>
      </c>
      <c r="D15" s="25">
        <v>364</v>
      </c>
      <c r="E15" s="25">
        <f t="shared" si="0"/>
        <v>2500</v>
      </c>
      <c r="F15" s="25">
        <v>0</v>
      </c>
      <c r="G15" s="28" t="s">
        <v>18</v>
      </c>
      <c r="H15" s="29"/>
    </row>
    <row r="16" spans="1:8" ht="15" x14ac:dyDescent="0.25">
      <c r="A16" s="90">
        <v>11</v>
      </c>
      <c r="B16" s="29" t="s">
        <v>33</v>
      </c>
      <c r="C16" s="25" t="s">
        <v>15</v>
      </c>
      <c r="D16" s="25">
        <v>364</v>
      </c>
      <c r="E16" s="25">
        <f t="shared" si="0"/>
        <v>2500</v>
      </c>
      <c r="F16" s="25">
        <v>0</v>
      </c>
      <c r="G16" s="28" t="s">
        <v>18</v>
      </c>
      <c r="H16" s="29"/>
    </row>
    <row r="17" spans="1:8" ht="15" x14ac:dyDescent="0.25">
      <c r="A17" s="90">
        <v>12</v>
      </c>
      <c r="B17" s="29" t="s">
        <v>34</v>
      </c>
      <c r="C17" s="25" t="s">
        <v>15</v>
      </c>
      <c r="D17" s="25">
        <v>364</v>
      </c>
      <c r="E17" s="25">
        <f t="shared" si="0"/>
        <v>2500</v>
      </c>
      <c r="F17" s="25">
        <v>0</v>
      </c>
      <c r="G17" s="28" t="s">
        <v>18</v>
      </c>
      <c r="H17" s="29"/>
    </row>
    <row r="18" spans="1:8" ht="15" x14ac:dyDescent="0.25">
      <c r="A18" s="90">
        <v>13</v>
      </c>
      <c r="B18" s="29" t="s">
        <v>35</v>
      </c>
      <c r="C18" s="25" t="s">
        <v>15</v>
      </c>
      <c r="D18" s="25">
        <v>364</v>
      </c>
      <c r="E18" s="25">
        <f t="shared" si="0"/>
        <v>2500</v>
      </c>
      <c r="F18" s="25">
        <v>0</v>
      </c>
      <c r="G18" s="28" t="s">
        <v>18</v>
      </c>
      <c r="H18" s="29"/>
    </row>
    <row r="19" spans="1:8" ht="15" x14ac:dyDescent="0.25">
      <c r="A19" s="90">
        <v>14</v>
      </c>
      <c r="B19" s="29" t="s">
        <v>37</v>
      </c>
      <c r="C19" s="25" t="s">
        <v>15</v>
      </c>
      <c r="D19" s="25">
        <v>364</v>
      </c>
      <c r="E19" s="25">
        <f t="shared" si="0"/>
        <v>2500</v>
      </c>
      <c r="F19" s="25">
        <f>1860-1000</f>
        <v>860</v>
      </c>
      <c r="G19" s="28" t="s">
        <v>18</v>
      </c>
      <c r="H19" s="29"/>
    </row>
    <row r="20" spans="1:8" ht="15" x14ac:dyDescent="0.25">
      <c r="A20" s="90">
        <v>15</v>
      </c>
      <c r="B20" s="29" t="s">
        <v>39</v>
      </c>
      <c r="C20" s="25" t="s">
        <v>15</v>
      </c>
      <c r="D20" s="25">
        <v>364</v>
      </c>
      <c r="E20" s="25">
        <f t="shared" si="0"/>
        <v>2500</v>
      </c>
      <c r="F20" s="25">
        <v>0</v>
      </c>
      <c r="G20" s="28" t="s">
        <v>18</v>
      </c>
      <c r="H20" s="29"/>
    </row>
    <row r="21" spans="1:8" ht="15" x14ac:dyDescent="0.25">
      <c r="A21" s="90">
        <v>16</v>
      </c>
      <c r="B21" s="29" t="s">
        <v>40</v>
      </c>
      <c r="C21" s="25" t="s">
        <v>15</v>
      </c>
      <c r="D21" s="25">
        <v>364</v>
      </c>
      <c r="E21" s="25">
        <v>2500</v>
      </c>
      <c r="F21" s="25">
        <v>2500</v>
      </c>
      <c r="G21" s="28" t="s">
        <v>25</v>
      </c>
      <c r="H21" s="29"/>
    </row>
    <row r="22" spans="1:8" ht="15" x14ac:dyDescent="0.25">
      <c r="A22" s="90">
        <v>17</v>
      </c>
      <c r="B22" s="29" t="s">
        <v>41</v>
      </c>
      <c r="C22" s="25" t="s">
        <v>15</v>
      </c>
      <c r="D22" s="25">
        <v>364</v>
      </c>
      <c r="E22" s="25">
        <v>2500</v>
      </c>
      <c r="F22" s="25">
        <v>0</v>
      </c>
      <c r="G22" s="28" t="s">
        <v>18</v>
      </c>
      <c r="H22" s="29"/>
    </row>
    <row r="23" spans="1:8" ht="15" x14ac:dyDescent="0.25">
      <c r="A23" s="90">
        <v>18</v>
      </c>
      <c r="B23" s="29" t="s">
        <v>42</v>
      </c>
      <c r="C23" s="25" t="s">
        <v>15</v>
      </c>
      <c r="D23" s="25">
        <v>364</v>
      </c>
      <c r="E23" s="25">
        <v>3000</v>
      </c>
      <c r="F23" s="25">
        <v>0</v>
      </c>
      <c r="G23" s="28" t="s">
        <v>18</v>
      </c>
      <c r="H23" s="29"/>
    </row>
    <row r="24" spans="1:8" ht="15" x14ac:dyDescent="0.25">
      <c r="A24" s="90">
        <v>19</v>
      </c>
      <c r="B24" s="29" t="s">
        <v>43</v>
      </c>
      <c r="C24" s="25" t="s">
        <v>15</v>
      </c>
      <c r="D24" s="25">
        <v>364</v>
      </c>
      <c r="E24" s="25">
        <v>3000</v>
      </c>
      <c r="F24" s="25">
        <v>0</v>
      </c>
      <c r="G24" s="28" t="s">
        <v>18</v>
      </c>
      <c r="H24" s="29"/>
    </row>
    <row r="25" spans="1:8" ht="15" x14ac:dyDescent="0.25">
      <c r="A25" s="90">
        <v>20</v>
      </c>
      <c r="B25" s="29" t="s">
        <v>44</v>
      </c>
      <c r="C25" s="25" t="s">
        <v>15</v>
      </c>
      <c r="D25" s="25">
        <v>364</v>
      </c>
      <c r="E25" s="25">
        <v>2500</v>
      </c>
      <c r="F25" s="25">
        <v>0</v>
      </c>
      <c r="G25" s="28" t="s">
        <v>18</v>
      </c>
      <c r="H25" s="29"/>
    </row>
    <row r="26" spans="1:8" ht="15" x14ac:dyDescent="0.25">
      <c r="A26" s="90">
        <v>21</v>
      </c>
      <c r="B26" s="29" t="s">
        <v>46</v>
      </c>
      <c r="C26" s="25" t="s">
        <v>15</v>
      </c>
      <c r="D26" s="25">
        <v>364</v>
      </c>
      <c r="E26" s="25">
        <v>2500</v>
      </c>
      <c r="F26" s="25">
        <v>0</v>
      </c>
      <c r="G26" s="28" t="s">
        <v>18</v>
      </c>
      <c r="H26" s="29"/>
    </row>
    <row r="27" spans="1:8" ht="15" x14ac:dyDescent="0.25">
      <c r="A27" s="90">
        <v>22</v>
      </c>
      <c r="B27" s="29" t="s">
        <v>47</v>
      </c>
      <c r="C27" s="25" t="s">
        <v>15</v>
      </c>
      <c r="D27" s="25">
        <v>364</v>
      </c>
      <c r="E27" s="25">
        <v>2500</v>
      </c>
      <c r="F27" s="25">
        <v>0</v>
      </c>
      <c r="G27" s="28" t="s">
        <v>18</v>
      </c>
      <c r="H27" s="29"/>
    </row>
    <row r="28" spans="1:8" ht="15" x14ac:dyDescent="0.25">
      <c r="A28" s="90">
        <v>23</v>
      </c>
      <c r="B28" s="29" t="s">
        <v>49</v>
      </c>
      <c r="C28" s="25" t="s">
        <v>15</v>
      </c>
      <c r="D28" s="25">
        <v>364</v>
      </c>
      <c r="E28" s="25">
        <v>3000</v>
      </c>
      <c r="F28" s="25">
        <v>0</v>
      </c>
      <c r="G28" s="28" t="s">
        <v>18</v>
      </c>
      <c r="H28" s="29"/>
    </row>
    <row r="29" spans="1:8" ht="15" x14ac:dyDescent="0.25">
      <c r="A29" s="90">
        <v>24</v>
      </c>
      <c r="B29" s="29" t="s">
        <v>51</v>
      </c>
      <c r="C29" s="25" t="s">
        <v>15</v>
      </c>
      <c r="D29" s="25">
        <v>364</v>
      </c>
      <c r="E29" s="25">
        <v>2500</v>
      </c>
      <c r="F29" s="25">
        <v>0</v>
      </c>
      <c r="G29" s="28" t="s">
        <v>18</v>
      </c>
      <c r="H29" s="29"/>
    </row>
    <row r="30" spans="1:8" ht="15" x14ac:dyDescent="0.25">
      <c r="A30" s="90">
        <v>25</v>
      </c>
      <c r="B30" s="29" t="s">
        <v>53</v>
      </c>
      <c r="C30" s="25" t="s">
        <v>15</v>
      </c>
      <c r="D30" s="25">
        <v>364</v>
      </c>
      <c r="E30" s="25">
        <f>640+1860</f>
        <v>2500</v>
      </c>
      <c r="F30" s="25">
        <v>0</v>
      </c>
      <c r="G30" s="28" t="s">
        <v>18</v>
      </c>
      <c r="H30" s="29"/>
    </row>
    <row r="31" spans="1:8" ht="15" x14ac:dyDescent="0.25">
      <c r="A31" s="90">
        <v>26</v>
      </c>
      <c r="B31" s="29" t="s">
        <v>54</v>
      </c>
      <c r="C31" s="25" t="s">
        <v>15</v>
      </c>
      <c r="D31" s="25">
        <v>364</v>
      </c>
      <c r="E31" s="25">
        <v>2500</v>
      </c>
      <c r="F31" s="25">
        <v>0</v>
      </c>
      <c r="G31" s="28" t="s">
        <v>18</v>
      </c>
      <c r="H31" s="29"/>
    </row>
    <row r="32" spans="1:8" ht="15" x14ac:dyDescent="0.25">
      <c r="A32" s="90">
        <v>27</v>
      </c>
      <c r="B32" s="29" t="s">
        <v>56</v>
      </c>
      <c r="C32" s="25" t="s">
        <v>15</v>
      </c>
      <c r="D32" s="25">
        <v>364</v>
      </c>
      <c r="E32" s="25">
        <v>2500</v>
      </c>
      <c r="F32" s="25">
        <v>0</v>
      </c>
      <c r="G32" s="28" t="s">
        <v>18</v>
      </c>
      <c r="H32" s="29"/>
    </row>
    <row r="33" spans="1:8" ht="15" x14ac:dyDescent="0.25">
      <c r="A33" s="90">
        <v>28</v>
      </c>
      <c r="B33" s="29" t="s">
        <v>58</v>
      </c>
      <c r="C33" s="25" t="s">
        <v>15</v>
      </c>
      <c r="D33" s="25">
        <v>364</v>
      </c>
      <c r="E33" s="25">
        <v>2500</v>
      </c>
      <c r="F33" s="25">
        <v>0</v>
      </c>
      <c r="G33" s="28" t="s">
        <v>18</v>
      </c>
      <c r="H33" s="29"/>
    </row>
    <row r="34" spans="1:8" thickBot="1" x14ac:dyDescent="0.3">
      <c r="A34" s="134">
        <v>29</v>
      </c>
      <c r="B34" s="135" t="s">
        <v>59</v>
      </c>
      <c r="C34" s="136" t="s">
        <v>15</v>
      </c>
      <c r="D34" s="136">
        <v>364</v>
      </c>
      <c r="E34" s="136">
        <v>2500</v>
      </c>
      <c r="F34" s="136">
        <v>0</v>
      </c>
      <c r="G34" s="137" t="s">
        <v>25</v>
      </c>
      <c r="H34" s="29"/>
    </row>
    <row r="35" spans="1:8" ht="16.5" thickBot="1" x14ac:dyDescent="0.3">
      <c r="A35" s="12"/>
      <c r="B35" s="110"/>
      <c r="C35" s="78"/>
      <c r="D35" s="79">
        <f>SUM(D6:D34)</f>
        <v>10556</v>
      </c>
      <c r="E35" s="79">
        <f>SUM(E6:E34)</f>
        <v>74000</v>
      </c>
      <c r="F35" s="129">
        <f>SUM(F6:F34)</f>
        <v>3360</v>
      </c>
      <c r="G35" s="229"/>
      <c r="H35" s="15"/>
    </row>
    <row r="37" spans="1:8" ht="16.5" thickBot="1" x14ac:dyDescent="0.3"/>
    <row r="38" spans="1:8" ht="22.5" thickBot="1" x14ac:dyDescent="0.45">
      <c r="A38" s="30" t="s">
        <v>63</v>
      </c>
      <c r="B38" s="31"/>
      <c r="C38" s="22"/>
      <c r="D38" s="20"/>
    </row>
    <row r="39" spans="1:8" s="2" customFormat="1" x14ac:dyDescent="0.25">
      <c r="A39" s="32" t="s">
        <v>0</v>
      </c>
      <c r="B39" s="33" t="s">
        <v>1</v>
      </c>
      <c r="C39" s="34" t="s">
        <v>3</v>
      </c>
      <c r="D39" s="26" t="s">
        <v>4</v>
      </c>
      <c r="E39" s="26" t="s">
        <v>5</v>
      </c>
      <c r="F39" s="34" t="s">
        <v>8</v>
      </c>
      <c r="G39" s="34" t="s">
        <v>9</v>
      </c>
      <c r="H39" s="35" t="s">
        <v>433</v>
      </c>
    </row>
    <row r="40" spans="1:8" x14ac:dyDescent="0.25">
      <c r="A40" s="23">
        <v>1</v>
      </c>
      <c r="B40" s="3" t="s">
        <v>19</v>
      </c>
      <c r="C40" s="222" t="s">
        <v>15</v>
      </c>
      <c r="D40" s="7">
        <v>364</v>
      </c>
      <c r="E40" s="7">
        <v>6200</v>
      </c>
      <c r="F40" s="3">
        <v>0</v>
      </c>
      <c r="G40" s="3" t="s">
        <v>25</v>
      </c>
      <c r="H40" s="14"/>
    </row>
    <row r="41" spans="1:8" x14ac:dyDescent="0.25">
      <c r="A41" s="23">
        <v>2</v>
      </c>
      <c r="B41" s="3" t="s">
        <v>23</v>
      </c>
      <c r="C41" s="222" t="s">
        <v>15</v>
      </c>
      <c r="D41" s="7">
        <v>364</v>
      </c>
      <c r="E41" s="7">
        <v>640</v>
      </c>
      <c r="F41" s="3">
        <v>0</v>
      </c>
      <c r="G41" s="3" t="s">
        <v>18</v>
      </c>
      <c r="H41" s="14"/>
    </row>
    <row r="42" spans="1:8" x14ac:dyDescent="0.25">
      <c r="A42" s="23">
        <v>3</v>
      </c>
      <c r="B42" s="3" t="s">
        <v>24</v>
      </c>
      <c r="C42" s="222" t="s">
        <v>15</v>
      </c>
      <c r="D42" s="7">
        <v>364</v>
      </c>
      <c r="E42" s="7">
        <v>6200</v>
      </c>
      <c r="F42" s="3">
        <v>3700</v>
      </c>
      <c r="G42" s="3" t="s">
        <v>25</v>
      </c>
      <c r="H42" s="14"/>
    </row>
    <row r="43" spans="1:8" x14ac:dyDescent="0.25">
      <c r="A43" s="23">
        <v>4</v>
      </c>
      <c r="B43" s="3" t="s">
        <v>30</v>
      </c>
      <c r="C43" s="222" t="s">
        <v>15</v>
      </c>
      <c r="D43" s="7">
        <v>364</v>
      </c>
      <c r="E43" s="7">
        <v>2500</v>
      </c>
      <c r="F43" s="3">
        <v>0</v>
      </c>
      <c r="G43" s="3" t="s">
        <v>18</v>
      </c>
      <c r="H43" s="14"/>
    </row>
    <row r="44" spans="1:8" x14ac:dyDescent="0.25">
      <c r="A44" s="23">
        <v>5</v>
      </c>
      <c r="B44" s="3" t="s">
        <v>36</v>
      </c>
      <c r="C44" s="222" t="s">
        <v>15</v>
      </c>
      <c r="D44" s="7">
        <v>364</v>
      </c>
      <c r="E44" s="7">
        <v>2500</v>
      </c>
      <c r="F44" s="3">
        <v>0</v>
      </c>
      <c r="G44" s="3" t="s">
        <v>25</v>
      </c>
      <c r="H44" s="14"/>
    </row>
    <row r="45" spans="1:8" x14ac:dyDescent="0.25">
      <c r="A45" s="23">
        <v>6</v>
      </c>
      <c r="B45" s="3" t="s">
        <v>38</v>
      </c>
      <c r="C45" s="3" t="s">
        <v>20</v>
      </c>
      <c r="D45" s="7">
        <v>364</v>
      </c>
      <c r="E45" s="7">
        <v>8000</v>
      </c>
      <c r="F45" s="227">
        <v>8000</v>
      </c>
      <c r="G45" s="3" t="s">
        <v>25</v>
      </c>
      <c r="H45" s="14"/>
    </row>
    <row r="46" spans="1:8" x14ac:dyDescent="0.25">
      <c r="A46" s="23">
        <v>8</v>
      </c>
      <c r="B46" s="3" t="s">
        <v>45</v>
      </c>
      <c r="C46" s="222" t="s">
        <v>15</v>
      </c>
      <c r="D46" s="7">
        <v>364</v>
      </c>
      <c r="E46" s="7">
        <v>6200</v>
      </c>
      <c r="F46" s="3">
        <v>0</v>
      </c>
      <c r="G46" s="3" t="s">
        <v>18</v>
      </c>
      <c r="H46" s="14"/>
    </row>
    <row r="47" spans="1:8" x14ac:dyDescent="0.25">
      <c r="A47" s="23">
        <v>9</v>
      </c>
      <c r="B47" s="3" t="s">
        <v>48</v>
      </c>
      <c r="C47" s="222" t="s">
        <v>15</v>
      </c>
      <c r="D47" s="7">
        <v>364</v>
      </c>
      <c r="E47" s="7">
        <v>6200</v>
      </c>
      <c r="F47" s="3">
        <v>0</v>
      </c>
      <c r="G47" s="3" t="s">
        <v>18</v>
      </c>
      <c r="H47" s="14"/>
    </row>
    <row r="48" spans="1:8" x14ac:dyDescent="0.25">
      <c r="A48" s="23">
        <v>10</v>
      </c>
      <c r="B48" s="3" t="s">
        <v>50</v>
      </c>
      <c r="C48" s="222" t="s">
        <v>15</v>
      </c>
      <c r="D48" s="7">
        <v>364</v>
      </c>
      <c r="E48" s="7">
        <v>640</v>
      </c>
      <c r="F48" s="3">
        <v>0</v>
      </c>
      <c r="G48" s="3" t="s">
        <v>18</v>
      </c>
      <c r="H48" s="14"/>
    </row>
    <row r="49" spans="1:8" x14ac:dyDescent="0.25">
      <c r="A49" s="23">
        <v>11</v>
      </c>
      <c r="B49" s="3" t="s">
        <v>52</v>
      </c>
      <c r="C49" s="222" t="s">
        <v>15</v>
      </c>
      <c r="D49" s="7">
        <v>364</v>
      </c>
      <c r="E49" s="7">
        <v>640</v>
      </c>
      <c r="F49" s="3">
        <v>2864</v>
      </c>
      <c r="G49" s="3" t="s">
        <v>25</v>
      </c>
      <c r="H49" s="14"/>
    </row>
    <row r="50" spans="1:8" x14ac:dyDescent="0.25">
      <c r="A50" s="23">
        <v>12</v>
      </c>
      <c r="B50" s="3" t="s">
        <v>435</v>
      </c>
      <c r="C50" s="222" t="s">
        <v>15</v>
      </c>
      <c r="D50" s="7">
        <v>364</v>
      </c>
      <c r="E50" s="7">
        <v>8000</v>
      </c>
      <c r="F50" s="3">
        <f>8000-2000-4000</f>
        <v>2000</v>
      </c>
      <c r="G50" s="3"/>
      <c r="H50" s="14"/>
    </row>
    <row r="51" spans="1:8" x14ac:dyDescent="0.25">
      <c r="A51" s="23">
        <v>13</v>
      </c>
      <c r="B51" s="3" t="s">
        <v>55</v>
      </c>
      <c r="C51" s="222" t="s">
        <v>15</v>
      </c>
      <c r="D51" s="7">
        <v>364</v>
      </c>
      <c r="E51" s="7">
        <v>6200</v>
      </c>
      <c r="F51" s="3">
        <v>0</v>
      </c>
      <c r="G51" s="3" t="s">
        <v>18</v>
      </c>
      <c r="H51" s="14"/>
    </row>
    <row r="52" spans="1:8" x14ac:dyDescent="0.25">
      <c r="A52" s="23">
        <v>14</v>
      </c>
      <c r="B52" s="3" t="s">
        <v>57</v>
      </c>
      <c r="C52" s="221" t="s">
        <v>15</v>
      </c>
      <c r="D52" s="7">
        <v>364</v>
      </c>
      <c r="E52" s="7">
        <v>6200</v>
      </c>
      <c r="F52" s="3">
        <v>0</v>
      </c>
      <c r="G52" s="3" t="s">
        <v>18</v>
      </c>
      <c r="H52" s="14"/>
    </row>
    <row r="53" spans="1:8" x14ac:dyDescent="0.25">
      <c r="A53" s="23">
        <v>15</v>
      </c>
      <c r="B53" s="3" t="s">
        <v>60</v>
      </c>
      <c r="C53" s="221" t="s">
        <v>15</v>
      </c>
      <c r="D53" s="7">
        <v>364</v>
      </c>
      <c r="E53" s="7">
        <v>640</v>
      </c>
      <c r="F53" s="3">
        <v>0</v>
      </c>
      <c r="G53" s="3" t="s">
        <v>25</v>
      </c>
      <c r="H53" s="14"/>
    </row>
    <row r="54" spans="1:8" ht="16.5" thickBot="1" x14ac:dyDescent="0.3">
      <c r="A54" s="173">
        <v>16</v>
      </c>
      <c r="B54" s="74" t="s">
        <v>61</v>
      </c>
      <c r="C54" s="221" t="s">
        <v>15</v>
      </c>
      <c r="D54" s="75">
        <v>364</v>
      </c>
      <c r="E54" s="75">
        <v>640</v>
      </c>
      <c r="F54" s="74">
        <v>0</v>
      </c>
      <c r="G54" s="74" t="s">
        <v>18</v>
      </c>
      <c r="H54" s="174"/>
    </row>
    <row r="55" spans="1:8" ht="16.5" thickBot="1" x14ac:dyDescent="0.3">
      <c r="A55" s="12"/>
      <c r="B55" s="110"/>
      <c r="C55" s="78"/>
      <c r="D55" s="79">
        <f>SUM(D40:D54)</f>
        <v>5460</v>
      </c>
      <c r="E55" s="79">
        <f>SUM(E40:E54)</f>
        <v>61400</v>
      </c>
      <c r="F55" s="129">
        <f>SUM(F40:F54)</f>
        <v>16564</v>
      </c>
      <c r="G55" s="78"/>
      <c r="H55" s="138"/>
    </row>
    <row r="58" spans="1:8" ht="16.5" thickBot="1" x14ac:dyDescent="0.3"/>
    <row r="59" spans="1:8" ht="20.25" thickBot="1" x14ac:dyDescent="0.45">
      <c r="A59" s="36" t="s">
        <v>64</v>
      </c>
      <c r="B59" s="37"/>
      <c r="C59" s="6"/>
      <c r="D59" s="44"/>
    </row>
    <row r="60" spans="1:8" ht="16.5" thickBot="1" x14ac:dyDescent="0.3">
      <c r="A60" s="12" t="s">
        <v>400</v>
      </c>
      <c r="B60" s="110" t="s">
        <v>66</v>
      </c>
      <c r="C60" s="78" t="s">
        <v>5</v>
      </c>
      <c r="D60" s="78" t="s">
        <v>20</v>
      </c>
      <c r="E60" s="79" t="s">
        <v>7</v>
      </c>
      <c r="F60" s="78" t="s">
        <v>8</v>
      </c>
      <c r="G60" s="78" t="s">
        <v>434</v>
      </c>
      <c r="H60"/>
    </row>
    <row r="61" spans="1:8" x14ac:dyDescent="0.25">
      <c r="A61" s="46">
        <v>1</v>
      </c>
      <c r="B61" s="10" t="s">
        <v>72</v>
      </c>
      <c r="C61" s="3">
        <v>8000</v>
      </c>
      <c r="D61" s="222" t="s">
        <v>15</v>
      </c>
      <c r="E61" s="7">
        <v>8000</v>
      </c>
      <c r="F61" s="19">
        <v>0</v>
      </c>
      <c r="G61" s="3"/>
    </row>
    <row r="62" spans="1:8" x14ac:dyDescent="0.25">
      <c r="A62" s="46">
        <v>2</v>
      </c>
      <c r="B62" s="10" t="s">
        <v>74</v>
      </c>
      <c r="C62" s="3">
        <v>8000</v>
      </c>
      <c r="D62" s="222" t="s">
        <v>15</v>
      </c>
      <c r="E62" s="7">
        <v>0</v>
      </c>
      <c r="F62" s="19">
        <v>8000</v>
      </c>
      <c r="G62" s="3"/>
    </row>
    <row r="63" spans="1:8" x14ac:dyDescent="0.25">
      <c r="A63" s="46">
        <v>3</v>
      </c>
      <c r="B63" s="10" t="s">
        <v>75</v>
      </c>
      <c r="C63" s="3">
        <v>8000</v>
      </c>
      <c r="D63" s="222" t="s">
        <v>15</v>
      </c>
      <c r="E63" s="7">
        <v>5000</v>
      </c>
      <c r="F63" s="19">
        <v>3000</v>
      </c>
      <c r="G63" s="3"/>
    </row>
    <row r="64" spans="1:8" x14ac:dyDescent="0.25">
      <c r="A64" s="46">
        <v>4</v>
      </c>
      <c r="B64" s="10" t="s">
        <v>76</v>
      </c>
      <c r="C64" s="3">
        <v>8000</v>
      </c>
      <c r="D64" s="222" t="s">
        <v>15</v>
      </c>
      <c r="E64" s="7">
        <v>6400</v>
      </c>
      <c r="F64" s="19">
        <v>1600</v>
      </c>
      <c r="G64" s="3"/>
    </row>
    <row r="65" spans="1:9" x14ac:dyDescent="0.25">
      <c r="A65" s="46">
        <v>5</v>
      </c>
      <c r="B65" s="10" t="s">
        <v>80</v>
      </c>
      <c r="C65" s="3">
        <v>6200</v>
      </c>
      <c r="D65" s="222" t="s">
        <v>15</v>
      </c>
      <c r="E65" s="7">
        <v>5850</v>
      </c>
      <c r="F65" s="19">
        <v>350</v>
      </c>
      <c r="G65" s="3"/>
    </row>
    <row r="66" spans="1:9" x14ac:dyDescent="0.25">
      <c r="A66" s="46">
        <v>6</v>
      </c>
      <c r="B66" s="10" t="s">
        <v>82</v>
      </c>
      <c r="C66" s="3">
        <v>8000</v>
      </c>
      <c r="D66" s="3" t="s">
        <v>20</v>
      </c>
      <c r="E66" s="7">
        <f>4000+2000</f>
        <v>6000</v>
      </c>
      <c r="F66" s="19">
        <v>2000</v>
      </c>
      <c r="G66" s="3"/>
    </row>
    <row r="67" spans="1:9" x14ac:dyDescent="0.25">
      <c r="A67" s="46">
        <v>7</v>
      </c>
      <c r="B67" s="10" t="s">
        <v>84</v>
      </c>
      <c r="C67" s="3">
        <v>8000</v>
      </c>
      <c r="D67" s="222" t="s">
        <v>15</v>
      </c>
      <c r="E67" s="7">
        <v>8000</v>
      </c>
      <c r="F67" s="19">
        <v>0</v>
      </c>
      <c r="G67" s="3"/>
    </row>
    <row r="68" spans="1:9" x14ac:dyDescent="0.25">
      <c r="A68" s="46">
        <v>8</v>
      </c>
      <c r="B68" s="10" t="s">
        <v>437</v>
      </c>
      <c r="C68" s="3">
        <v>8000</v>
      </c>
      <c r="D68" s="3" t="s">
        <v>20</v>
      </c>
      <c r="E68" s="7">
        <f>3000+1500+1500</f>
        <v>6000</v>
      </c>
      <c r="F68" s="19">
        <v>2000</v>
      </c>
      <c r="G68" s="3"/>
    </row>
    <row r="69" spans="1:9" x14ac:dyDescent="0.25">
      <c r="A69" s="46">
        <v>9</v>
      </c>
      <c r="B69" s="10" t="s">
        <v>432</v>
      </c>
      <c r="C69" s="3">
        <v>8000</v>
      </c>
      <c r="D69" s="3" t="s">
        <v>20</v>
      </c>
      <c r="E69" s="7"/>
      <c r="F69" s="19">
        <v>5500</v>
      </c>
      <c r="G69" s="3"/>
    </row>
    <row r="70" spans="1:9" x14ac:dyDescent="0.25">
      <c r="A70" s="46">
        <v>10</v>
      </c>
      <c r="B70" s="10" t="s">
        <v>85</v>
      </c>
      <c r="C70" s="3">
        <v>8000</v>
      </c>
      <c r="D70" s="222" t="s">
        <v>15</v>
      </c>
      <c r="E70" s="7">
        <v>4000</v>
      </c>
      <c r="F70" s="19">
        <v>4000</v>
      </c>
      <c r="G70" s="3"/>
    </row>
    <row r="71" spans="1:9" x14ac:dyDescent="0.25">
      <c r="A71" s="46">
        <v>11</v>
      </c>
      <c r="B71" s="10" t="s">
        <v>86</v>
      </c>
      <c r="C71" s="3">
        <v>8000</v>
      </c>
      <c r="D71" s="3" t="s">
        <v>20</v>
      </c>
      <c r="E71" s="7">
        <v>364</v>
      </c>
      <c r="F71" s="19">
        <v>8000</v>
      </c>
      <c r="G71" s="3"/>
    </row>
    <row r="72" spans="1:9" x14ac:dyDescent="0.25">
      <c r="A72" s="46">
        <v>12</v>
      </c>
      <c r="B72" s="10" t="s">
        <v>295</v>
      </c>
      <c r="C72" s="3">
        <v>8000</v>
      </c>
      <c r="D72" s="222" t="s">
        <v>15</v>
      </c>
      <c r="E72" s="7">
        <f>5500+1000</f>
        <v>6500</v>
      </c>
      <c r="F72" s="19">
        <v>1500</v>
      </c>
      <c r="G72" s="3"/>
    </row>
    <row r="73" spans="1:9" x14ac:dyDescent="0.25">
      <c r="A73" s="46">
        <v>13</v>
      </c>
      <c r="B73" s="10" t="s">
        <v>79</v>
      </c>
      <c r="C73" s="3">
        <v>8000</v>
      </c>
      <c r="D73" s="222" t="s">
        <v>15</v>
      </c>
      <c r="E73" s="7">
        <v>364</v>
      </c>
      <c r="F73" s="19">
        <v>0</v>
      </c>
      <c r="G73" s="3"/>
    </row>
    <row r="74" spans="1:9" x14ac:dyDescent="0.25">
      <c r="A74" s="46">
        <v>14</v>
      </c>
      <c r="B74" s="10" t="s">
        <v>408</v>
      </c>
      <c r="C74" s="3">
        <v>8000</v>
      </c>
      <c r="D74" s="222" t="s">
        <v>15</v>
      </c>
      <c r="E74" s="7">
        <v>364</v>
      </c>
      <c r="F74" s="19">
        <v>4000</v>
      </c>
      <c r="G74" s="3"/>
    </row>
    <row r="75" spans="1:9" ht="16.5" thickBot="1" x14ac:dyDescent="0.3">
      <c r="A75" s="46">
        <v>15</v>
      </c>
      <c r="B75" s="108" t="s">
        <v>410</v>
      </c>
      <c r="C75" s="3">
        <v>8000</v>
      </c>
      <c r="D75" s="222" t="s">
        <v>15</v>
      </c>
      <c r="E75" s="7">
        <v>8000</v>
      </c>
      <c r="F75" s="19">
        <v>0</v>
      </c>
      <c r="G75" s="3"/>
    </row>
    <row r="76" spans="1:9" ht="16.5" thickBot="1" x14ac:dyDescent="0.3">
      <c r="A76" s="46">
        <v>16</v>
      </c>
      <c r="B76" s="182" t="s">
        <v>391</v>
      </c>
      <c r="C76" s="3">
        <v>5000</v>
      </c>
      <c r="D76" s="222" t="s">
        <v>15</v>
      </c>
      <c r="E76" s="7">
        <f>700+700+1000</f>
        <v>2400</v>
      </c>
      <c r="F76" s="19">
        <v>2600</v>
      </c>
      <c r="G76" s="180"/>
      <c r="I76" s="11"/>
    </row>
    <row r="77" spans="1:9" x14ac:dyDescent="0.25">
      <c r="F77" s="49">
        <f>SUM(F61:F76)</f>
        <v>42550</v>
      </c>
    </row>
    <row r="81" spans="1:3" x14ac:dyDescent="0.25">
      <c r="A81" s="217"/>
      <c r="B81" s="67"/>
      <c r="C81" s="2"/>
    </row>
    <row r="83" spans="1:3" x14ac:dyDescent="0.25">
      <c r="C83" s="218"/>
    </row>
    <row r="84" spans="1:3" x14ac:dyDescent="0.25">
      <c r="C84" s="218"/>
    </row>
  </sheetData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4316-8847-4A54-AAF5-1DF107768413}">
  <dimension ref="A3:M32"/>
  <sheetViews>
    <sheetView workbookViewId="0">
      <selection activeCell="K33" sqref="K33"/>
    </sheetView>
  </sheetViews>
  <sheetFormatPr defaultRowHeight="15" x14ac:dyDescent="0.25"/>
  <cols>
    <col min="1" max="1" width="6" customWidth="1"/>
    <col min="2" max="2" width="15.7109375" customWidth="1"/>
    <col min="3" max="3" width="16" customWidth="1"/>
    <col min="4" max="4" width="15.7109375" customWidth="1"/>
    <col min="5" max="5" width="14.85546875" customWidth="1"/>
    <col min="6" max="6" width="13" customWidth="1"/>
    <col min="7" max="7" width="12.42578125" customWidth="1"/>
    <col min="8" max="8" width="10" customWidth="1"/>
    <col min="10" max="10" width="13.28515625" customWidth="1"/>
    <col min="11" max="11" width="12.140625" customWidth="1"/>
    <col min="12" max="12" width="14.140625" customWidth="1"/>
  </cols>
  <sheetData>
    <row r="3" spans="1:13" ht="15.75" thickBot="1" x14ac:dyDescent="0.3">
      <c r="A3" s="1"/>
      <c r="D3" s="1"/>
      <c r="F3" s="1"/>
      <c r="G3" s="1"/>
      <c r="H3" s="1"/>
      <c r="I3" s="1"/>
      <c r="K3" s="1"/>
    </row>
    <row r="4" spans="1:13" ht="16.5" thickBot="1" x14ac:dyDescent="0.35">
      <c r="A4" s="132" t="s">
        <v>64</v>
      </c>
      <c r="B4" s="133"/>
      <c r="C4" s="133"/>
      <c r="D4" s="44"/>
      <c r="F4" s="1"/>
      <c r="G4" s="1"/>
      <c r="H4" s="1"/>
      <c r="I4" s="1"/>
      <c r="K4" s="1"/>
    </row>
    <row r="5" spans="1:13" x14ac:dyDescent="0.25">
      <c r="A5" s="51"/>
      <c r="B5" s="16"/>
      <c r="C5" s="16"/>
      <c r="D5" s="43"/>
      <c r="E5" s="16"/>
      <c r="F5" s="43"/>
      <c r="G5" s="43"/>
      <c r="H5" s="43"/>
      <c r="I5" s="43"/>
      <c r="J5" s="16"/>
      <c r="K5" s="43"/>
      <c r="L5" s="16"/>
      <c r="M5" s="40"/>
    </row>
    <row r="6" spans="1:13" x14ac:dyDescent="0.25">
      <c r="A6" s="130"/>
      <c r="B6" s="62" t="s">
        <v>184</v>
      </c>
      <c r="C6" s="62" t="s">
        <v>66</v>
      </c>
      <c r="D6" s="47" t="s">
        <v>67</v>
      </c>
      <c r="E6" s="62" t="s">
        <v>2</v>
      </c>
      <c r="F6" s="47" t="s">
        <v>5</v>
      </c>
      <c r="G6" s="47" t="s">
        <v>4</v>
      </c>
      <c r="H6" s="47" t="s">
        <v>87</v>
      </c>
      <c r="I6" s="47" t="s">
        <v>6</v>
      </c>
      <c r="J6" s="62" t="s">
        <v>7</v>
      </c>
      <c r="K6" s="47" t="s">
        <v>8</v>
      </c>
      <c r="L6" s="62" t="s">
        <v>68</v>
      </c>
      <c r="M6" s="131" t="s">
        <v>69</v>
      </c>
    </row>
    <row r="7" spans="1:13" x14ac:dyDescent="0.25">
      <c r="A7" s="53">
        <v>1</v>
      </c>
      <c r="B7" s="3" t="s">
        <v>306</v>
      </c>
      <c r="C7" s="3" t="s">
        <v>307</v>
      </c>
      <c r="D7" s="7" t="s">
        <v>20</v>
      </c>
      <c r="E7" s="3" t="s">
        <v>70</v>
      </c>
      <c r="F7" s="7">
        <v>5000</v>
      </c>
      <c r="G7" s="7">
        <v>364</v>
      </c>
      <c r="H7" s="7"/>
      <c r="I7" s="7" t="s">
        <v>71</v>
      </c>
      <c r="J7" s="3">
        <v>0</v>
      </c>
      <c r="K7" s="7">
        <v>1700</v>
      </c>
      <c r="L7" s="3"/>
      <c r="M7" s="41"/>
    </row>
    <row r="8" spans="1:13" x14ac:dyDescent="0.25">
      <c r="A8" s="53">
        <v>2</v>
      </c>
      <c r="B8" s="3" t="s">
        <v>308</v>
      </c>
      <c r="C8" s="3" t="s">
        <v>309</v>
      </c>
      <c r="D8" s="7" t="s">
        <v>20</v>
      </c>
      <c r="E8" s="3" t="s">
        <v>70</v>
      </c>
      <c r="F8" s="7">
        <v>5000</v>
      </c>
      <c r="G8" s="7">
        <v>364</v>
      </c>
      <c r="H8" s="7"/>
      <c r="I8" s="7" t="s">
        <v>71</v>
      </c>
      <c r="J8" s="3">
        <v>0</v>
      </c>
      <c r="K8" s="7">
        <v>1700</v>
      </c>
      <c r="L8" s="3"/>
      <c r="M8" s="41"/>
    </row>
    <row r="9" spans="1:13" x14ac:dyDescent="0.25">
      <c r="A9" s="53">
        <v>3</v>
      </c>
      <c r="B9" s="3" t="s">
        <v>310</v>
      </c>
      <c r="C9" s="3" t="s">
        <v>195</v>
      </c>
      <c r="D9" s="7" t="s">
        <v>20</v>
      </c>
      <c r="E9" s="3" t="s">
        <v>70</v>
      </c>
      <c r="F9" s="7">
        <v>5000</v>
      </c>
      <c r="G9" s="7">
        <v>364</v>
      </c>
      <c r="H9" s="7"/>
      <c r="I9" s="7" t="s">
        <v>71</v>
      </c>
      <c r="J9" s="3">
        <v>0</v>
      </c>
      <c r="K9" s="7">
        <v>1700</v>
      </c>
      <c r="L9" s="3"/>
      <c r="M9" s="41"/>
    </row>
    <row r="10" spans="1:13" x14ac:dyDescent="0.25">
      <c r="A10" s="53">
        <v>4</v>
      </c>
      <c r="B10" s="3" t="s">
        <v>73</v>
      </c>
      <c r="C10" s="3" t="s">
        <v>311</v>
      </c>
      <c r="D10" s="7" t="s">
        <v>20</v>
      </c>
      <c r="E10" s="3" t="s">
        <v>70</v>
      </c>
      <c r="F10" s="7">
        <v>5000</v>
      </c>
      <c r="G10" s="7">
        <v>364</v>
      </c>
      <c r="H10" s="7"/>
      <c r="I10" s="7" t="s">
        <v>71</v>
      </c>
      <c r="J10" s="3">
        <v>0</v>
      </c>
      <c r="K10" s="7">
        <v>1700</v>
      </c>
      <c r="L10" s="3"/>
      <c r="M10" s="41"/>
    </row>
    <row r="11" spans="1:13" x14ac:dyDescent="0.25">
      <c r="A11" s="53">
        <v>5</v>
      </c>
      <c r="B11" s="3" t="s">
        <v>186</v>
      </c>
      <c r="C11" s="3" t="s">
        <v>312</v>
      </c>
      <c r="D11" s="7" t="s">
        <v>20</v>
      </c>
      <c r="E11" s="3" t="s">
        <v>70</v>
      </c>
      <c r="F11" s="7">
        <v>5000</v>
      </c>
      <c r="G11" s="7">
        <v>364</v>
      </c>
      <c r="H11" s="7"/>
      <c r="I11" s="7" t="s">
        <v>71</v>
      </c>
      <c r="J11" s="3">
        <v>0</v>
      </c>
      <c r="K11" s="7">
        <v>1700</v>
      </c>
      <c r="L11" s="3"/>
      <c r="M11" s="41"/>
    </row>
    <row r="12" spans="1:13" x14ac:dyDescent="0.25">
      <c r="A12" s="53">
        <v>6</v>
      </c>
      <c r="B12" s="3" t="s">
        <v>314</v>
      </c>
      <c r="C12" s="3" t="s">
        <v>315</v>
      </c>
      <c r="D12" s="7" t="s">
        <v>20</v>
      </c>
      <c r="E12" s="3" t="s">
        <v>70</v>
      </c>
      <c r="F12" s="7">
        <v>5000</v>
      </c>
      <c r="G12" s="7">
        <v>364</v>
      </c>
      <c r="H12" s="7"/>
      <c r="I12" s="7" t="s">
        <v>71</v>
      </c>
      <c r="J12" s="3">
        <v>0</v>
      </c>
      <c r="K12" s="7">
        <v>1700</v>
      </c>
      <c r="L12" s="3"/>
      <c r="M12" s="41"/>
    </row>
    <row r="13" spans="1:13" x14ac:dyDescent="0.25">
      <c r="A13" s="53">
        <v>7</v>
      </c>
      <c r="B13" s="3" t="s">
        <v>316</v>
      </c>
      <c r="C13" s="3" t="s">
        <v>317</v>
      </c>
      <c r="D13" s="7" t="s">
        <v>20</v>
      </c>
      <c r="E13" s="3" t="s">
        <v>70</v>
      </c>
      <c r="F13" s="7">
        <v>5000</v>
      </c>
      <c r="G13" s="7">
        <v>364</v>
      </c>
      <c r="H13" s="7"/>
      <c r="I13" s="7" t="s">
        <v>71</v>
      </c>
      <c r="J13" s="3">
        <v>0</v>
      </c>
      <c r="K13" s="7">
        <v>1700</v>
      </c>
      <c r="L13" s="3"/>
      <c r="M13" s="41"/>
    </row>
    <row r="14" spans="1:13" x14ac:dyDescent="0.25">
      <c r="A14" s="53">
        <v>8</v>
      </c>
      <c r="B14" s="3" t="s">
        <v>318</v>
      </c>
      <c r="C14" s="3" t="s">
        <v>319</v>
      </c>
      <c r="D14" s="7" t="s">
        <v>20</v>
      </c>
      <c r="E14" s="3" t="s">
        <v>70</v>
      </c>
      <c r="F14" s="7">
        <v>5000</v>
      </c>
      <c r="G14" s="7">
        <v>364</v>
      </c>
      <c r="H14" s="7"/>
      <c r="I14" s="7" t="s">
        <v>71</v>
      </c>
      <c r="J14" s="3">
        <v>0</v>
      </c>
      <c r="K14" s="7">
        <v>1700</v>
      </c>
      <c r="L14" s="3"/>
      <c r="M14" s="41"/>
    </row>
    <row r="15" spans="1:13" x14ac:dyDescent="0.25">
      <c r="A15" s="53">
        <v>9</v>
      </c>
      <c r="B15" s="3" t="s">
        <v>320</v>
      </c>
      <c r="C15" s="3" t="s">
        <v>321</v>
      </c>
      <c r="D15" s="7" t="s">
        <v>20</v>
      </c>
      <c r="E15" s="3" t="s">
        <v>70</v>
      </c>
      <c r="F15" s="7">
        <v>5000</v>
      </c>
      <c r="G15" s="7">
        <v>364</v>
      </c>
      <c r="H15" s="7"/>
      <c r="I15" s="7" t="s">
        <v>71</v>
      </c>
      <c r="J15" s="3">
        <v>0</v>
      </c>
      <c r="K15" s="7">
        <v>1700</v>
      </c>
      <c r="L15" s="3"/>
      <c r="M15" s="41"/>
    </row>
    <row r="16" spans="1:13" x14ac:dyDescent="0.25">
      <c r="A16" s="53">
        <v>10</v>
      </c>
      <c r="B16" s="3" t="s">
        <v>322</v>
      </c>
      <c r="C16" s="3" t="s">
        <v>73</v>
      </c>
      <c r="D16" s="7" t="s">
        <v>20</v>
      </c>
      <c r="E16" s="3" t="s">
        <v>70</v>
      </c>
      <c r="F16" s="7">
        <v>5000</v>
      </c>
      <c r="G16" s="7">
        <v>364</v>
      </c>
      <c r="H16" s="7"/>
      <c r="I16" s="7" t="s">
        <v>71</v>
      </c>
      <c r="J16" s="3">
        <v>0</v>
      </c>
      <c r="K16" s="7">
        <v>1700</v>
      </c>
      <c r="L16" s="3"/>
      <c r="M16" s="41"/>
    </row>
    <row r="17" spans="1:13" x14ac:dyDescent="0.25">
      <c r="A17" s="53">
        <v>11</v>
      </c>
      <c r="B17" s="3" t="s">
        <v>323</v>
      </c>
      <c r="C17" s="3" t="s">
        <v>324</v>
      </c>
      <c r="D17" s="7" t="s">
        <v>20</v>
      </c>
      <c r="E17" s="3" t="s">
        <v>70</v>
      </c>
      <c r="F17" s="7">
        <v>5000</v>
      </c>
      <c r="G17" s="7">
        <v>364</v>
      </c>
      <c r="H17" s="7"/>
      <c r="I17" s="7" t="s">
        <v>71</v>
      </c>
      <c r="J17" s="3">
        <v>0</v>
      </c>
      <c r="K17" s="7">
        <v>1700</v>
      </c>
      <c r="L17" s="3"/>
      <c r="M17" s="41"/>
    </row>
    <row r="18" spans="1:13" x14ac:dyDescent="0.25">
      <c r="A18" s="53">
        <v>12</v>
      </c>
      <c r="B18" s="3" t="s">
        <v>325</v>
      </c>
      <c r="C18" s="3" t="s">
        <v>83</v>
      </c>
      <c r="D18" s="7" t="s">
        <v>20</v>
      </c>
      <c r="E18" s="3" t="s">
        <v>70</v>
      </c>
      <c r="F18" s="7">
        <v>5000</v>
      </c>
      <c r="G18" s="7">
        <v>364</v>
      </c>
      <c r="H18" s="7"/>
      <c r="I18" s="7" t="s">
        <v>71</v>
      </c>
      <c r="J18" s="3">
        <v>0</v>
      </c>
      <c r="K18" s="7">
        <v>1700</v>
      </c>
      <c r="L18" s="3"/>
      <c r="M18" s="41"/>
    </row>
    <row r="19" spans="1:13" x14ac:dyDescent="0.25">
      <c r="A19" s="53">
        <v>13</v>
      </c>
      <c r="B19" s="3" t="s">
        <v>326</v>
      </c>
      <c r="C19" s="3" t="s">
        <v>327</v>
      </c>
      <c r="D19" s="7" t="s">
        <v>20</v>
      </c>
      <c r="E19" s="3" t="s">
        <v>70</v>
      </c>
      <c r="F19" s="7">
        <v>5000</v>
      </c>
      <c r="G19" s="7">
        <v>364</v>
      </c>
      <c r="H19" s="7"/>
      <c r="I19" s="7" t="s">
        <v>71</v>
      </c>
      <c r="J19" s="3">
        <v>0</v>
      </c>
      <c r="K19" s="7">
        <v>1700</v>
      </c>
      <c r="L19" s="3"/>
      <c r="M19" s="41"/>
    </row>
    <row r="20" spans="1:13" x14ac:dyDescent="0.25">
      <c r="A20" s="53">
        <v>14</v>
      </c>
      <c r="B20" s="3" t="s">
        <v>81</v>
      </c>
      <c r="C20" s="3" t="s">
        <v>328</v>
      </c>
      <c r="D20" s="7" t="s">
        <v>20</v>
      </c>
      <c r="E20" s="3" t="s">
        <v>70</v>
      </c>
      <c r="F20" s="7">
        <v>5000</v>
      </c>
      <c r="G20" s="7">
        <v>364</v>
      </c>
      <c r="H20" s="7"/>
      <c r="I20" s="7" t="s">
        <v>71</v>
      </c>
      <c r="J20" s="3">
        <v>0</v>
      </c>
      <c r="K20" s="7">
        <v>1700</v>
      </c>
      <c r="L20" s="3"/>
      <c r="M20" s="41"/>
    </row>
    <row r="21" spans="1:13" x14ac:dyDescent="0.25">
      <c r="A21" s="53">
        <v>15</v>
      </c>
      <c r="B21" s="3" t="s">
        <v>329</v>
      </c>
      <c r="C21" s="3" t="s">
        <v>330</v>
      </c>
      <c r="D21" s="7" t="s">
        <v>20</v>
      </c>
      <c r="E21" s="3" t="s">
        <v>70</v>
      </c>
      <c r="F21" s="7">
        <v>5000</v>
      </c>
      <c r="G21" s="7">
        <v>364</v>
      </c>
      <c r="H21" s="7"/>
      <c r="I21" s="7" t="s">
        <v>71</v>
      </c>
      <c r="J21" s="3">
        <v>0</v>
      </c>
      <c r="K21" s="7">
        <v>1700</v>
      </c>
      <c r="L21" s="3"/>
      <c r="M21" s="41"/>
    </row>
    <row r="22" spans="1:13" x14ac:dyDescent="0.25">
      <c r="A22" s="53">
        <v>16</v>
      </c>
      <c r="B22" s="3" t="s">
        <v>331</v>
      </c>
      <c r="C22" s="3" t="s">
        <v>332</v>
      </c>
      <c r="D22" s="7" t="s">
        <v>20</v>
      </c>
      <c r="E22" s="3" t="s">
        <v>70</v>
      </c>
      <c r="F22" s="7">
        <v>5000</v>
      </c>
      <c r="G22" s="7">
        <v>364</v>
      </c>
      <c r="H22" s="7"/>
      <c r="I22" s="7" t="s">
        <v>71</v>
      </c>
      <c r="J22" s="3">
        <v>0</v>
      </c>
      <c r="K22" s="7">
        <v>1700</v>
      </c>
      <c r="L22" s="3"/>
      <c r="M22" s="41"/>
    </row>
    <row r="23" spans="1:13" x14ac:dyDescent="0.25">
      <c r="A23" s="53">
        <v>17</v>
      </c>
      <c r="B23" s="3" t="s">
        <v>333</v>
      </c>
      <c r="C23" s="3" t="s">
        <v>77</v>
      </c>
      <c r="D23" s="7" t="s">
        <v>20</v>
      </c>
      <c r="E23" s="3" t="s">
        <v>70</v>
      </c>
      <c r="F23" s="7">
        <v>5000</v>
      </c>
      <c r="G23" s="7">
        <v>364</v>
      </c>
      <c r="H23" s="7"/>
      <c r="I23" s="7" t="s">
        <v>71</v>
      </c>
      <c r="J23" s="3">
        <v>0</v>
      </c>
      <c r="K23" s="7">
        <v>1700</v>
      </c>
      <c r="L23" s="3"/>
      <c r="M23" s="41"/>
    </row>
    <row r="24" spans="1:13" x14ac:dyDescent="0.25">
      <c r="A24" s="53">
        <v>18</v>
      </c>
      <c r="B24" s="3" t="s">
        <v>334</v>
      </c>
      <c r="C24" s="3" t="s">
        <v>335</v>
      </c>
      <c r="D24" s="7" t="s">
        <v>20</v>
      </c>
      <c r="E24" s="3" t="s">
        <v>70</v>
      </c>
      <c r="F24" s="7">
        <v>5000</v>
      </c>
      <c r="G24" s="7">
        <v>364</v>
      </c>
      <c r="H24" s="7"/>
      <c r="I24" s="7" t="s">
        <v>71</v>
      </c>
      <c r="J24" s="3">
        <v>0</v>
      </c>
      <c r="K24" s="7">
        <v>1700</v>
      </c>
      <c r="L24" s="3"/>
      <c r="M24" s="41"/>
    </row>
    <row r="25" spans="1:13" x14ac:dyDescent="0.25">
      <c r="A25" s="53">
        <v>19</v>
      </c>
      <c r="B25" s="3" t="s">
        <v>336</v>
      </c>
      <c r="C25" s="3" t="s">
        <v>313</v>
      </c>
      <c r="D25" s="7" t="s">
        <v>20</v>
      </c>
      <c r="E25" s="3" t="s">
        <v>70</v>
      </c>
      <c r="F25" s="7">
        <v>5000</v>
      </c>
      <c r="G25" s="7">
        <v>364</v>
      </c>
      <c r="H25" s="7"/>
      <c r="I25" s="7" t="s">
        <v>71</v>
      </c>
      <c r="J25" s="3">
        <v>0</v>
      </c>
      <c r="K25" s="7">
        <v>1700</v>
      </c>
      <c r="L25" s="3"/>
      <c r="M25" s="41"/>
    </row>
    <row r="26" spans="1:13" x14ac:dyDescent="0.25">
      <c r="A26" s="53">
        <v>20</v>
      </c>
      <c r="B26" s="3" t="s">
        <v>337</v>
      </c>
      <c r="C26" s="3" t="s">
        <v>338</v>
      </c>
      <c r="D26" s="7" t="s">
        <v>20</v>
      </c>
      <c r="E26" s="3" t="s">
        <v>70</v>
      </c>
      <c r="F26" s="7">
        <v>5000</v>
      </c>
      <c r="G26" s="7">
        <v>364</v>
      </c>
      <c r="H26" s="7"/>
      <c r="I26" s="7" t="s">
        <v>71</v>
      </c>
      <c r="J26" s="3">
        <v>0</v>
      </c>
      <c r="K26" s="7">
        <v>1700</v>
      </c>
      <c r="L26" s="3"/>
      <c r="M26" s="41"/>
    </row>
    <row r="27" spans="1:13" x14ac:dyDescent="0.25">
      <c r="A27" s="53">
        <v>21</v>
      </c>
      <c r="B27" s="3" t="s">
        <v>339</v>
      </c>
      <c r="C27" s="3" t="s">
        <v>340</v>
      </c>
      <c r="D27" s="7" t="s">
        <v>20</v>
      </c>
      <c r="E27" s="3" t="s">
        <v>70</v>
      </c>
      <c r="F27" s="7">
        <v>5000</v>
      </c>
      <c r="G27" s="7">
        <v>364</v>
      </c>
      <c r="H27" s="7"/>
      <c r="I27" s="7" t="s">
        <v>71</v>
      </c>
      <c r="J27" s="3">
        <v>0</v>
      </c>
      <c r="K27" s="7">
        <v>1700</v>
      </c>
      <c r="L27" s="3"/>
      <c r="M27" s="41"/>
    </row>
    <row r="28" spans="1:13" x14ac:dyDescent="0.25">
      <c r="A28" s="53">
        <v>22</v>
      </c>
      <c r="B28" s="3" t="s">
        <v>339</v>
      </c>
      <c r="C28" s="3" t="s">
        <v>341</v>
      </c>
      <c r="D28" s="7" t="s">
        <v>20</v>
      </c>
      <c r="E28" s="3" t="s">
        <v>70</v>
      </c>
      <c r="F28" s="7">
        <v>5000</v>
      </c>
      <c r="G28" s="7">
        <v>364</v>
      </c>
      <c r="H28" s="7"/>
      <c r="I28" s="7" t="s">
        <v>71</v>
      </c>
      <c r="J28" s="3">
        <v>0</v>
      </c>
      <c r="K28" s="7">
        <v>1700</v>
      </c>
      <c r="L28" s="3"/>
      <c r="M28" s="41"/>
    </row>
    <row r="29" spans="1:13" x14ac:dyDescent="0.25">
      <c r="A29" s="53">
        <v>23</v>
      </c>
      <c r="B29" s="3" t="s">
        <v>339</v>
      </c>
      <c r="C29" s="3" t="s">
        <v>342</v>
      </c>
      <c r="D29" s="7" t="s">
        <v>20</v>
      </c>
      <c r="E29" s="3" t="s">
        <v>70</v>
      </c>
      <c r="F29" s="7">
        <v>5000</v>
      </c>
      <c r="G29" s="7">
        <v>364</v>
      </c>
      <c r="H29" s="7"/>
      <c r="I29" s="7" t="s">
        <v>71</v>
      </c>
      <c r="J29" s="3">
        <v>0</v>
      </c>
      <c r="K29" s="7">
        <v>1700</v>
      </c>
      <c r="M29" s="41"/>
    </row>
    <row r="30" spans="1:13" x14ac:dyDescent="0.25">
      <c r="A30" s="53">
        <v>24</v>
      </c>
      <c r="B30" s="3" t="s">
        <v>343</v>
      </c>
      <c r="C30" s="3" t="s">
        <v>344</v>
      </c>
      <c r="D30" s="7" t="s">
        <v>20</v>
      </c>
      <c r="E30" s="3" t="s">
        <v>70</v>
      </c>
      <c r="F30" s="7">
        <v>5000</v>
      </c>
      <c r="G30" s="7">
        <v>364</v>
      </c>
      <c r="H30" s="7"/>
      <c r="I30" s="7" t="s">
        <v>71</v>
      </c>
      <c r="J30" s="3">
        <v>0</v>
      </c>
      <c r="K30" s="7">
        <v>1700</v>
      </c>
      <c r="L30" s="3"/>
      <c r="M30" s="41"/>
    </row>
    <row r="31" spans="1:13" ht="15.75" thickBot="1" x14ac:dyDescent="0.3">
      <c r="A31" s="96">
        <v>25</v>
      </c>
      <c r="B31" s="74" t="s">
        <v>345</v>
      </c>
      <c r="C31" s="74" t="s">
        <v>80</v>
      </c>
      <c r="D31" s="75" t="s">
        <v>20</v>
      </c>
      <c r="E31" s="74" t="s">
        <v>70</v>
      </c>
      <c r="F31" s="7">
        <v>5000</v>
      </c>
      <c r="G31" s="75">
        <v>364</v>
      </c>
      <c r="H31" s="75"/>
      <c r="I31" s="75" t="s">
        <v>71</v>
      </c>
      <c r="J31" s="74">
        <v>0</v>
      </c>
      <c r="K31" s="75">
        <v>1700</v>
      </c>
      <c r="L31" s="74"/>
      <c r="M31" s="76"/>
    </row>
    <row r="32" spans="1:13" ht="15.75" thickBot="1" x14ac:dyDescent="0.3">
      <c r="A32" s="175"/>
      <c r="B32" s="54"/>
      <c r="C32" s="54"/>
      <c r="D32" s="6"/>
      <c r="E32" s="54"/>
      <c r="F32" s="6"/>
      <c r="G32" s="176"/>
      <c r="H32" s="6"/>
      <c r="I32" s="6"/>
      <c r="J32" s="54"/>
      <c r="K32" s="176"/>
      <c r="L32" s="54"/>
      <c r="M32" s="5"/>
    </row>
  </sheetData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topLeftCell="A16" zoomScale="95" zoomScaleNormal="95" workbookViewId="0">
      <selection activeCell="M36" sqref="M36"/>
    </sheetView>
  </sheetViews>
  <sheetFormatPr defaultRowHeight="15" x14ac:dyDescent="0.25"/>
  <cols>
    <col min="1" max="1" width="6.28515625" style="1" customWidth="1"/>
    <col min="2" max="2" width="20.7109375" customWidth="1"/>
    <col min="3" max="3" width="15.42578125" customWidth="1"/>
    <col min="4" max="4" width="14.42578125" customWidth="1"/>
    <col min="5" max="5" width="11.42578125" style="1" customWidth="1"/>
    <col min="6" max="6" width="13.5703125" style="1" customWidth="1"/>
    <col min="7" max="7" width="20.85546875" style="1" customWidth="1"/>
    <col min="8" max="8" width="20.5703125" style="1" customWidth="1"/>
    <col min="9" max="10" width="18.42578125" style="65" customWidth="1"/>
    <col min="11" max="12" width="11.85546875" style="1" customWidth="1"/>
    <col min="13" max="13" width="20" style="58" customWidth="1"/>
    <col min="14" max="14" width="16" style="58" customWidth="1"/>
    <col min="15" max="15" width="13" customWidth="1"/>
    <col min="16" max="16" width="27" customWidth="1"/>
  </cols>
  <sheetData>
    <row r="1" spans="1:20" ht="15.75" thickBot="1" x14ac:dyDescent="0.3"/>
    <row r="2" spans="1:20" ht="15.75" thickBot="1" x14ac:dyDescent="0.3">
      <c r="H2" s="59" t="s">
        <v>183</v>
      </c>
    </row>
    <row r="3" spans="1:20" ht="16.5" thickBot="1" x14ac:dyDescent="0.35">
      <c r="A3" s="87" t="s">
        <v>63</v>
      </c>
      <c r="B3" s="88"/>
      <c r="C3" s="88"/>
      <c r="D3" s="89"/>
    </row>
    <row r="4" spans="1:20" s="57" customFormat="1" ht="13.5" thickBot="1" x14ac:dyDescent="0.25">
      <c r="A4" s="148" t="s">
        <v>88</v>
      </c>
      <c r="B4" s="112" t="s">
        <v>89</v>
      </c>
      <c r="C4" s="112" t="s">
        <v>67</v>
      </c>
      <c r="D4" s="112" t="s">
        <v>2</v>
      </c>
      <c r="E4" s="101" t="s">
        <v>5</v>
      </c>
      <c r="F4" s="101" t="s">
        <v>4</v>
      </c>
      <c r="G4" s="101" t="s">
        <v>436</v>
      </c>
      <c r="H4" s="101" t="s">
        <v>87</v>
      </c>
      <c r="I4" s="95" t="s">
        <v>90</v>
      </c>
      <c r="J4" s="143" t="s">
        <v>357</v>
      </c>
      <c r="K4" s="101" t="s">
        <v>7</v>
      </c>
      <c r="L4" s="101" t="s">
        <v>8</v>
      </c>
      <c r="M4" s="101" t="s">
        <v>68</v>
      </c>
      <c r="N4" s="101" t="s">
        <v>91</v>
      </c>
      <c r="O4" s="112" t="s">
        <v>10</v>
      </c>
      <c r="P4" s="113" t="s">
        <v>11</v>
      </c>
    </row>
    <row r="5" spans="1:20" ht="11.25" customHeight="1" x14ac:dyDescent="0.25">
      <c r="A5" s="144"/>
      <c r="B5" s="145"/>
      <c r="C5" s="145"/>
      <c r="D5" s="145"/>
      <c r="E5" s="146"/>
      <c r="F5" s="146"/>
      <c r="G5" s="146"/>
      <c r="H5" s="146"/>
      <c r="I5" s="93"/>
      <c r="J5" s="93"/>
      <c r="K5" s="146"/>
      <c r="L5" s="146"/>
      <c r="M5" s="146" t="s">
        <v>12</v>
      </c>
      <c r="N5" s="146"/>
      <c r="O5" s="145"/>
      <c r="P5" s="147"/>
      <c r="Q5" s="9"/>
      <c r="R5" s="9"/>
      <c r="S5" s="9"/>
      <c r="T5" s="9"/>
    </row>
    <row r="6" spans="1:20" ht="15.75" thickBot="1" x14ac:dyDescent="0.3">
      <c r="A6" s="60">
        <v>1</v>
      </c>
      <c r="B6" s="24" t="s">
        <v>92</v>
      </c>
      <c r="C6" s="224" t="s">
        <v>413</v>
      </c>
      <c r="D6" s="24" t="s">
        <v>93</v>
      </c>
      <c r="E6" s="27">
        <v>3000</v>
      </c>
      <c r="F6" s="27">
        <v>364</v>
      </c>
      <c r="G6" s="27"/>
      <c r="H6" s="27" t="s">
        <v>368</v>
      </c>
      <c r="I6" s="66" t="s">
        <v>94</v>
      </c>
      <c r="J6" s="66">
        <v>364</v>
      </c>
      <c r="K6" s="27">
        <v>3000</v>
      </c>
      <c r="L6" s="27">
        <v>0</v>
      </c>
      <c r="M6" s="27" t="s">
        <v>16</v>
      </c>
      <c r="N6" s="27" t="s">
        <v>7</v>
      </c>
      <c r="O6" s="24" t="s">
        <v>95</v>
      </c>
      <c r="P6" s="61" t="s">
        <v>96</v>
      </c>
      <c r="Q6" s="9"/>
      <c r="R6" s="9"/>
      <c r="S6" s="9"/>
      <c r="T6" s="9"/>
    </row>
    <row r="7" spans="1:20" ht="15.75" thickBot="1" x14ac:dyDescent="0.3">
      <c r="A7" s="60">
        <v>2</v>
      </c>
      <c r="B7" s="24" t="s">
        <v>97</v>
      </c>
      <c r="C7" s="224" t="s">
        <v>413</v>
      </c>
      <c r="D7" s="24" t="s">
        <v>93</v>
      </c>
      <c r="E7" s="27">
        <v>650</v>
      </c>
      <c r="F7" s="27">
        <v>364</v>
      </c>
      <c r="G7" s="27"/>
      <c r="H7" s="27" t="s">
        <v>365</v>
      </c>
      <c r="I7" s="66" t="s">
        <v>98</v>
      </c>
      <c r="J7" s="66"/>
      <c r="K7" s="27">
        <f>640+650</f>
        <v>1290</v>
      </c>
      <c r="L7" s="27">
        <v>10</v>
      </c>
      <c r="M7" s="27" t="s">
        <v>18</v>
      </c>
      <c r="N7" s="27" t="s">
        <v>7</v>
      </c>
      <c r="O7" s="24" t="s">
        <v>99</v>
      </c>
      <c r="P7" s="61" t="s">
        <v>100</v>
      </c>
      <c r="Q7" s="9"/>
      <c r="R7" s="9"/>
      <c r="S7" s="9"/>
      <c r="T7" s="9"/>
    </row>
    <row r="8" spans="1:20" ht="15.75" thickBot="1" x14ac:dyDescent="0.3">
      <c r="A8" s="60">
        <v>3</v>
      </c>
      <c r="B8" s="24" t="s">
        <v>101</v>
      </c>
      <c r="C8" s="224" t="s">
        <v>413</v>
      </c>
      <c r="D8" s="24" t="s">
        <v>93</v>
      </c>
      <c r="E8" s="27">
        <v>640</v>
      </c>
      <c r="F8" s="27">
        <v>364</v>
      </c>
      <c r="G8" s="27"/>
      <c r="H8" s="27" t="s">
        <v>374</v>
      </c>
      <c r="I8" s="66" t="s">
        <v>98</v>
      </c>
      <c r="J8" s="66">
        <v>364</v>
      </c>
      <c r="K8" s="27">
        <v>0</v>
      </c>
      <c r="L8" s="27">
        <v>1300</v>
      </c>
      <c r="M8" s="27" t="s">
        <v>25</v>
      </c>
      <c r="N8" s="27"/>
      <c r="O8" s="24" t="s">
        <v>102</v>
      </c>
      <c r="P8" s="61" t="s">
        <v>103</v>
      </c>
      <c r="Q8" s="9"/>
      <c r="R8" s="9"/>
      <c r="S8" s="9"/>
      <c r="T8" s="9"/>
    </row>
    <row r="9" spans="1:20" ht="15.75" thickBot="1" x14ac:dyDescent="0.3">
      <c r="A9" s="60">
        <v>4</v>
      </c>
      <c r="B9" s="24" t="s">
        <v>104</v>
      </c>
      <c r="C9" s="224" t="s">
        <v>413</v>
      </c>
      <c r="D9" s="24" t="s">
        <v>93</v>
      </c>
      <c r="E9" s="27">
        <v>640</v>
      </c>
      <c r="F9" s="27">
        <v>364</v>
      </c>
      <c r="G9" s="27"/>
      <c r="H9" s="27" t="s">
        <v>367</v>
      </c>
      <c r="I9" s="66" t="s">
        <v>98</v>
      </c>
      <c r="J9" s="66"/>
      <c r="K9" s="27">
        <f>640+660</f>
        <v>1300</v>
      </c>
      <c r="L9" s="27">
        <v>0</v>
      </c>
      <c r="M9" s="27" t="s">
        <v>18</v>
      </c>
      <c r="N9" s="27" t="s">
        <v>7</v>
      </c>
      <c r="O9" s="24" t="s">
        <v>105</v>
      </c>
      <c r="P9" s="61" t="s">
        <v>106</v>
      </c>
      <c r="Q9" s="9"/>
      <c r="R9" s="9"/>
      <c r="S9" s="9"/>
      <c r="T9" s="9"/>
    </row>
    <row r="10" spans="1:20" ht="15.75" thickBot="1" x14ac:dyDescent="0.3">
      <c r="A10" s="60">
        <v>5</v>
      </c>
      <c r="B10" s="24" t="s">
        <v>107</v>
      </c>
      <c r="C10" s="224" t="s">
        <v>413</v>
      </c>
      <c r="D10" s="24" t="s">
        <v>93</v>
      </c>
      <c r="E10" s="27">
        <v>3000</v>
      </c>
      <c r="F10" s="27">
        <v>364</v>
      </c>
      <c r="G10" s="27"/>
      <c r="H10" s="27" t="s">
        <v>368</v>
      </c>
      <c r="I10" s="66" t="s">
        <v>94</v>
      </c>
      <c r="J10" s="66"/>
      <c r="K10" s="27">
        <v>5000</v>
      </c>
      <c r="L10" s="27">
        <v>0</v>
      </c>
      <c r="M10" s="27" t="s">
        <v>18</v>
      </c>
      <c r="N10" s="27" t="s">
        <v>7</v>
      </c>
      <c r="O10" s="24" t="s">
        <v>108</v>
      </c>
      <c r="P10" s="61" t="s">
        <v>109</v>
      </c>
      <c r="Q10" s="9"/>
      <c r="R10" s="9"/>
      <c r="S10" s="9"/>
      <c r="T10" s="9"/>
    </row>
    <row r="11" spans="1:20" ht="15.75" thickBot="1" x14ac:dyDescent="0.3">
      <c r="A11" s="60">
        <v>6</v>
      </c>
      <c r="B11" s="24" t="s">
        <v>110</v>
      </c>
      <c r="C11" s="224" t="s">
        <v>413</v>
      </c>
      <c r="D11" s="24" t="s">
        <v>93</v>
      </c>
      <c r="E11" s="27">
        <v>1000</v>
      </c>
      <c r="F11" s="27">
        <v>364</v>
      </c>
      <c r="G11" s="27"/>
      <c r="H11" s="27" t="s">
        <v>365</v>
      </c>
      <c r="I11" s="66" t="s">
        <v>98</v>
      </c>
      <c r="J11" s="66"/>
      <c r="K11" s="27">
        <v>1300</v>
      </c>
      <c r="L11" s="27">
        <v>0</v>
      </c>
      <c r="M11" s="27" t="s">
        <v>18</v>
      </c>
      <c r="N11" s="27" t="s">
        <v>7</v>
      </c>
      <c r="O11" s="24" t="s">
        <v>111</v>
      </c>
      <c r="P11" s="61" t="s">
        <v>112</v>
      </c>
      <c r="Q11" s="9"/>
      <c r="R11" s="9"/>
      <c r="S11" s="9"/>
      <c r="T11" s="9"/>
    </row>
    <row r="12" spans="1:20" ht="15.75" thickBot="1" x14ac:dyDescent="0.3">
      <c r="A12" s="60">
        <v>7</v>
      </c>
      <c r="B12" s="24" t="s">
        <v>113</v>
      </c>
      <c r="C12" s="224" t="s">
        <v>413</v>
      </c>
      <c r="D12" s="24" t="s">
        <v>93</v>
      </c>
      <c r="E12" s="27">
        <v>640</v>
      </c>
      <c r="F12" s="27">
        <v>364</v>
      </c>
      <c r="G12" s="27"/>
      <c r="H12" s="27" t="s">
        <v>365</v>
      </c>
      <c r="I12" s="66" t="s">
        <v>98</v>
      </c>
      <c r="J12" s="66">
        <v>364</v>
      </c>
      <c r="K12" s="27">
        <v>0</v>
      </c>
      <c r="L12" s="27">
        <v>640</v>
      </c>
      <c r="M12" s="27" t="s">
        <v>25</v>
      </c>
      <c r="N12" s="27"/>
      <c r="O12" s="24" t="s">
        <v>114</v>
      </c>
      <c r="P12" s="61" t="s">
        <v>115</v>
      </c>
      <c r="Q12" s="9"/>
      <c r="R12" s="9"/>
      <c r="S12" s="9"/>
      <c r="T12" s="9"/>
    </row>
    <row r="13" spans="1:20" ht="15.75" thickBot="1" x14ac:dyDescent="0.3">
      <c r="A13" s="60">
        <v>8</v>
      </c>
      <c r="B13" s="24" t="s">
        <v>116</v>
      </c>
      <c r="C13" s="224" t="s">
        <v>413</v>
      </c>
      <c r="D13" s="24" t="s">
        <v>93</v>
      </c>
      <c r="E13" s="27">
        <v>1000</v>
      </c>
      <c r="F13" s="27">
        <v>364</v>
      </c>
      <c r="G13" s="27"/>
      <c r="H13" s="27" t="s">
        <v>367</v>
      </c>
      <c r="I13" s="66" t="s">
        <v>98</v>
      </c>
      <c r="J13" s="66"/>
      <c r="K13" s="27">
        <v>1000</v>
      </c>
      <c r="L13" s="27">
        <v>300</v>
      </c>
      <c r="M13" s="27" t="s">
        <v>25</v>
      </c>
      <c r="N13" s="27" t="s">
        <v>7</v>
      </c>
      <c r="O13" s="24" t="s">
        <v>117</v>
      </c>
      <c r="P13" s="61" t="s">
        <v>118</v>
      </c>
      <c r="Q13" s="9"/>
      <c r="R13" s="9"/>
      <c r="S13" s="9"/>
      <c r="T13" s="9"/>
    </row>
    <row r="14" spans="1:20" ht="15.75" thickBot="1" x14ac:dyDescent="0.3">
      <c r="A14" s="60">
        <v>9</v>
      </c>
      <c r="B14" s="24" t="s">
        <v>119</v>
      </c>
      <c r="C14" s="224" t="s">
        <v>413</v>
      </c>
      <c r="D14" s="24" t="s">
        <v>93</v>
      </c>
      <c r="E14" s="27">
        <v>1300</v>
      </c>
      <c r="F14" s="27">
        <v>364</v>
      </c>
      <c r="G14" s="27"/>
      <c r="H14" s="27" t="s">
        <v>365</v>
      </c>
      <c r="I14" s="66" t="s">
        <v>98</v>
      </c>
      <c r="J14" s="66"/>
      <c r="K14" s="27">
        <v>640</v>
      </c>
      <c r="L14" s="27">
        <v>660</v>
      </c>
      <c r="M14" s="27" t="s">
        <v>18</v>
      </c>
      <c r="N14" s="27" t="s">
        <v>7</v>
      </c>
      <c r="O14" s="24" t="s">
        <v>120</v>
      </c>
      <c r="P14" s="61" t="s">
        <v>121</v>
      </c>
      <c r="Q14" s="9"/>
      <c r="R14" s="9"/>
      <c r="S14" s="9"/>
      <c r="T14" s="9"/>
    </row>
    <row r="15" spans="1:20" ht="15.75" thickBot="1" x14ac:dyDescent="0.3">
      <c r="A15" s="60">
        <v>10</v>
      </c>
      <c r="B15" s="24" t="s">
        <v>122</v>
      </c>
      <c r="C15" s="224" t="s">
        <v>413</v>
      </c>
      <c r="D15" s="24" t="s">
        <v>93</v>
      </c>
      <c r="E15" s="27">
        <v>1300</v>
      </c>
      <c r="F15" s="27">
        <v>364</v>
      </c>
      <c r="G15" s="27"/>
      <c r="H15" s="27" t="s">
        <v>365</v>
      </c>
      <c r="I15" s="66" t="s">
        <v>98</v>
      </c>
      <c r="J15" s="66">
        <v>364</v>
      </c>
      <c r="K15" s="27">
        <v>640</v>
      </c>
      <c r="L15" s="27">
        <v>660</v>
      </c>
      <c r="M15" s="27" t="s">
        <v>25</v>
      </c>
      <c r="N15" s="27" t="s">
        <v>7</v>
      </c>
      <c r="O15" s="24" t="s">
        <v>123</v>
      </c>
      <c r="P15" s="61" t="s">
        <v>124</v>
      </c>
      <c r="Q15" s="9"/>
      <c r="R15" s="9"/>
      <c r="S15" s="9"/>
      <c r="T15" s="9"/>
    </row>
    <row r="16" spans="1:20" ht="15.75" thickBot="1" x14ac:dyDescent="0.3">
      <c r="A16" s="60">
        <v>11</v>
      </c>
      <c r="B16" s="24" t="s">
        <v>125</v>
      </c>
      <c r="C16" s="224" t="s">
        <v>413</v>
      </c>
      <c r="D16" s="24" t="s">
        <v>93</v>
      </c>
      <c r="E16" s="27">
        <v>1300</v>
      </c>
      <c r="F16" s="27">
        <v>364</v>
      </c>
      <c r="G16" s="27"/>
      <c r="H16" s="27" t="s">
        <v>366</v>
      </c>
      <c r="I16" s="66" t="s">
        <v>98</v>
      </c>
      <c r="J16" s="66"/>
      <c r="K16" s="27">
        <f>640+660</f>
        <v>1300</v>
      </c>
      <c r="L16" s="27">
        <v>0</v>
      </c>
      <c r="M16" s="27" t="s">
        <v>18</v>
      </c>
      <c r="N16" s="27" t="s">
        <v>7</v>
      </c>
      <c r="O16" s="24" t="s">
        <v>126</v>
      </c>
      <c r="P16" s="61" t="s">
        <v>127</v>
      </c>
      <c r="Q16" s="9"/>
      <c r="R16" s="9"/>
      <c r="S16" s="9"/>
      <c r="T16" s="9"/>
    </row>
    <row r="17" spans="1:20" ht="15.75" thickBot="1" x14ac:dyDescent="0.3">
      <c r="A17" s="60">
        <v>12</v>
      </c>
      <c r="B17" s="24" t="s">
        <v>128</v>
      </c>
      <c r="C17" s="224" t="s">
        <v>413</v>
      </c>
      <c r="D17" s="24" t="s">
        <v>93</v>
      </c>
      <c r="E17" s="27">
        <v>1300</v>
      </c>
      <c r="F17" s="27">
        <v>364</v>
      </c>
      <c r="G17" s="27"/>
      <c r="H17" s="27" t="s">
        <v>365</v>
      </c>
      <c r="I17" s="66" t="s">
        <v>98</v>
      </c>
      <c r="J17" s="66">
        <v>364</v>
      </c>
      <c r="K17" s="27">
        <v>1300</v>
      </c>
      <c r="L17" s="27">
        <v>640</v>
      </c>
      <c r="M17" s="27" t="s">
        <v>25</v>
      </c>
      <c r="N17" s="27"/>
      <c r="O17" s="24" t="s">
        <v>129</v>
      </c>
      <c r="P17" s="61" t="s">
        <v>130</v>
      </c>
      <c r="Q17" s="9"/>
      <c r="R17" s="9"/>
      <c r="S17" s="9"/>
      <c r="T17" s="9"/>
    </row>
    <row r="18" spans="1:20" ht="15.75" thickBot="1" x14ac:dyDescent="0.3">
      <c r="A18" s="60">
        <v>13</v>
      </c>
      <c r="B18" s="24" t="s">
        <v>131</v>
      </c>
      <c r="C18" s="224" t="s">
        <v>413</v>
      </c>
      <c r="D18" s="24" t="s">
        <v>93</v>
      </c>
      <c r="E18" s="27">
        <v>1300</v>
      </c>
      <c r="F18" s="27">
        <v>364</v>
      </c>
      <c r="G18" s="27"/>
      <c r="H18" s="27" t="s">
        <v>365</v>
      </c>
      <c r="I18" s="66" t="s">
        <v>98</v>
      </c>
      <c r="J18" s="66"/>
      <c r="K18" s="27">
        <f>640+660</f>
        <v>1300</v>
      </c>
      <c r="L18" s="27">
        <v>0</v>
      </c>
      <c r="M18" s="27" t="s">
        <v>18</v>
      </c>
      <c r="N18" s="27" t="s">
        <v>7</v>
      </c>
      <c r="O18" s="24" t="s">
        <v>132</v>
      </c>
      <c r="P18" s="61" t="s">
        <v>133</v>
      </c>
      <c r="Q18" s="9"/>
      <c r="R18" s="9"/>
      <c r="S18" s="9"/>
      <c r="T18" s="9"/>
    </row>
    <row r="19" spans="1:20" ht="15.75" thickBot="1" x14ac:dyDescent="0.3">
      <c r="A19" s="60">
        <v>14</v>
      </c>
      <c r="B19" s="24" t="s">
        <v>134</v>
      </c>
      <c r="C19" s="224" t="s">
        <v>413</v>
      </c>
      <c r="D19" s="24" t="s">
        <v>93</v>
      </c>
      <c r="E19" s="27">
        <v>1300</v>
      </c>
      <c r="F19" s="27">
        <v>364</v>
      </c>
      <c r="G19" s="27"/>
      <c r="H19" s="27" t="s">
        <v>365</v>
      </c>
      <c r="I19" s="66" t="s">
        <v>98</v>
      </c>
      <c r="J19" s="66">
        <v>364</v>
      </c>
      <c r="K19" s="27">
        <v>640</v>
      </c>
      <c r="L19" s="27">
        <v>660</v>
      </c>
      <c r="M19" s="27" t="s">
        <v>18</v>
      </c>
      <c r="N19" s="27"/>
      <c r="O19" s="24" t="s">
        <v>135</v>
      </c>
      <c r="P19" s="61" t="s">
        <v>136</v>
      </c>
      <c r="Q19" s="9"/>
      <c r="R19" s="9"/>
      <c r="S19" s="9"/>
      <c r="T19" s="9"/>
    </row>
    <row r="20" spans="1:20" ht="15.75" thickBot="1" x14ac:dyDescent="0.3">
      <c r="A20" s="60">
        <v>15</v>
      </c>
      <c r="B20" s="24" t="s">
        <v>137</v>
      </c>
      <c r="C20" s="224" t="s">
        <v>413</v>
      </c>
      <c r="D20" s="24" t="s">
        <v>93</v>
      </c>
      <c r="E20" s="27">
        <v>1300</v>
      </c>
      <c r="F20" s="27">
        <v>364</v>
      </c>
      <c r="G20" s="27"/>
      <c r="H20" s="27" t="s">
        <v>365</v>
      </c>
      <c r="I20" s="66" t="s">
        <v>98</v>
      </c>
      <c r="J20" s="66">
        <v>364</v>
      </c>
      <c r="K20" s="27">
        <v>1300</v>
      </c>
      <c r="L20" s="27">
        <v>0</v>
      </c>
      <c r="M20" s="27" t="s">
        <v>25</v>
      </c>
      <c r="N20" s="27"/>
      <c r="O20" s="24" t="s">
        <v>138</v>
      </c>
      <c r="P20" s="61" t="s">
        <v>139</v>
      </c>
      <c r="Q20" s="9"/>
      <c r="R20" s="9"/>
      <c r="S20" s="9"/>
      <c r="T20" s="9"/>
    </row>
    <row r="21" spans="1:20" ht="15.75" thickBot="1" x14ac:dyDescent="0.3">
      <c r="A21" s="60">
        <v>16</v>
      </c>
      <c r="B21" s="24" t="s">
        <v>140</v>
      </c>
      <c r="C21" s="224" t="s">
        <v>15</v>
      </c>
      <c r="D21" s="24" t="s">
        <v>93</v>
      </c>
      <c r="E21" s="27">
        <v>1300</v>
      </c>
      <c r="F21" s="27">
        <v>364</v>
      </c>
      <c r="G21" s="27"/>
      <c r="H21" s="27" t="s">
        <v>365</v>
      </c>
      <c r="I21" s="66" t="s">
        <v>98</v>
      </c>
      <c r="J21" s="66">
        <v>364</v>
      </c>
      <c r="K21" s="27">
        <v>640</v>
      </c>
      <c r="L21" s="27">
        <v>660</v>
      </c>
      <c r="M21" s="27" t="s">
        <v>25</v>
      </c>
      <c r="N21" s="27"/>
      <c r="O21" s="24" t="s">
        <v>141</v>
      </c>
      <c r="P21" s="61" t="s">
        <v>142</v>
      </c>
      <c r="Q21" s="9"/>
      <c r="R21" s="9"/>
      <c r="S21" s="9"/>
      <c r="T21" s="9"/>
    </row>
    <row r="22" spans="1:20" ht="15.75" thickBot="1" x14ac:dyDescent="0.3">
      <c r="A22" s="60">
        <v>17</v>
      </c>
      <c r="B22" s="24" t="s">
        <v>143</v>
      </c>
      <c r="C22" s="224" t="s">
        <v>15</v>
      </c>
      <c r="D22" s="24" t="s">
        <v>93</v>
      </c>
      <c r="E22" s="27">
        <v>1300</v>
      </c>
      <c r="F22" s="27">
        <v>364</v>
      </c>
      <c r="G22" s="27"/>
      <c r="H22" s="27" t="s">
        <v>367</v>
      </c>
      <c r="I22" s="66" t="s">
        <v>98</v>
      </c>
      <c r="J22" s="66">
        <v>364</v>
      </c>
      <c r="K22" s="27">
        <f>640+660</f>
        <v>1300</v>
      </c>
      <c r="L22" s="27">
        <v>0</v>
      </c>
      <c r="M22" s="27" t="s">
        <v>25</v>
      </c>
      <c r="N22" s="27"/>
      <c r="O22" s="24" t="s">
        <v>144</v>
      </c>
      <c r="P22" s="61" t="s">
        <v>145</v>
      </c>
      <c r="Q22" s="9"/>
      <c r="R22" s="9"/>
      <c r="S22" s="9"/>
      <c r="T22" s="9"/>
    </row>
    <row r="23" spans="1:20" ht="15.75" thickBot="1" x14ac:dyDescent="0.3">
      <c r="A23" s="60">
        <v>18</v>
      </c>
      <c r="B23" s="24" t="s">
        <v>146</v>
      </c>
      <c r="C23" s="224" t="s">
        <v>15</v>
      </c>
      <c r="D23" s="24" t="s">
        <v>93</v>
      </c>
      <c r="E23" s="27">
        <v>1300</v>
      </c>
      <c r="F23" s="27">
        <v>364</v>
      </c>
      <c r="G23" s="27"/>
      <c r="H23" s="177" t="s">
        <v>367</v>
      </c>
      <c r="I23" s="66" t="s">
        <v>98</v>
      </c>
      <c r="J23" s="66"/>
      <c r="K23" s="27">
        <v>1300</v>
      </c>
      <c r="L23" s="27">
        <v>0</v>
      </c>
      <c r="M23" s="27" t="s">
        <v>25</v>
      </c>
      <c r="N23" s="27"/>
      <c r="O23" s="24" t="s">
        <v>147</v>
      </c>
      <c r="P23" s="61" t="s">
        <v>148</v>
      </c>
      <c r="Q23" s="9"/>
      <c r="R23" s="9"/>
      <c r="S23" s="9"/>
      <c r="T23" s="9"/>
    </row>
    <row r="24" spans="1:20" ht="15.75" thickBot="1" x14ac:dyDescent="0.3">
      <c r="A24" s="60">
        <v>19</v>
      </c>
      <c r="B24" s="24" t="s">
        <v>149</v>
      </c>
      <c r="C24" s="224" t="s">
        <v>15</v>
      </c>
      <c r="D24" s="24" t="s">
        <v>93</v>
      </c>
      <c r="E24" s="27">
        <v>5000</v>
      </c>
      <c r="F24" s="27">
        <v>364</v>
      </c>
      <c r="G24" s="27"/>
      <c r="H24" s="27" t="s">
        <v>368</v>
      </c>
      <c r="I24" s="66" t="s">
        <v>94</v>
      </c>
      <c r="J24" s="66">
        <v>364</v>
      </c>
      <c r="K24" s="27">
        <v>5000</v>
      </c>
      <c r="L24" s="27">
        <v>0</v>
      </c>
      <c r="M24" s="27" t="s">
        <v>25</v>
      </c>
      <c r="N24" s="27"/>
      <c r="O24" s="24" t="s">
        <v>150</v>
      </c>
      <c r="P24" s="61" t="s">
        <v>151</v>
      </c>
      <c r="Q24" s="9"/>
      <c r="R24" s="9"/>
      <c r="S24" s="9"/>
      <c r="T24" s="9"/>
    </row>
    <row r="25" spans="1:20" ht="15.75" thickBot="1" x14ac:dyDescent="0.3">
      <c r="A25" s="60">
        <v>20</v>
      </c>
      <c r="B25" s="24" t="s">
        <v>152</v>
      </c>
      <c r="C25" s="224" t="s">
        <v>413</v>
      </c>
      <c r="D25" s="24" t="s">
        <v>93</v>
      </c>
      <c r="E25" s="27">
        <v>640</v>
      </c>
      <c r="F25" s="27">
        <v>364</v>
      </c>
      <c r="G25" s="27"/>
      <c r="H25" s="27" t="s">
        <v>367</v>
      </c>
      <c r="I25" s="66" t="s">
        <v>98</v>
      </c>
      <c r="J25" s="66">
        <v>364</v>
      </c>
      <c r="K25" s="27">
        <v>0</v>
      </c>
      <c r="L25" s="27">
        <v>1300</v>
      </c>
      <c r="M25" s="27" t="s">
        <v>25</v>
      </c>
      <c r="N25" s="27"/>
      <c r="O25" s="24" t="s">
        <v>153</v>
      </c>
      <c r="P25" s="61" t="s">
        <v>154</v>
      </c>
      <c r="Q25" s="9"/>
      <c r="R25" s="9"/>
      <c r="S25" s="9"/>
      <c r="T25" s="9"/>
    </row>
    <row r="26" spans="1:20" ht="15.75" thickBot="1" x14ac:dyDescent="0.3">
      <c r="A26" s="60">
        <v>21</v>
      </c>
      <c r="B26" s="24" t="s">
        <v>155</v>
      </c>
      <c r="C26" s="224" t="s">
        <v>413</v>
      </c>
      <c r="D26" s="24" t="s">
        <v>93</v>
      </c>
      <c r="E26" s="27">
        <v>640</v>
      </c>
      <c r="F26" s="27">
        <v>364</v>
      </c>
      <c r="G26" s="27"/>
      <c r="H26" s="27" t="s">
        <v>367</v>
      </c>
      <c r="I26" s="66" t="s">
        <v>98</v>
      </c>
      <c r="J26" s="66"/>
      <c r="K26" s="27">
        <f>640+660</f>
        <v>1300</v>
      </c>
      <c r="L26" s="27">
        <v>0</v>
      </c>
      <c r="M26" s="27" t="s">
        <v>18</v>
      </c>
      <c r="N26" s="27" t="s">
        <v>7</v>
      </c>
      <c r="O26" s="24" t="s">
        <v>156</v>
      </c>
      <c r="P26" s="61" t="s">
        <v>157</v>
      </c>
      <c r="Q26" s="9"/>
      <c r="R26" s="9"/>
      <c r="S26" s="9"/>
      <c r="T26" s="9"/>
    </row>
    <row r="27" spans="1:20" ht="15.75" thickBot="1" x14ac:dyDescent="0.3">
      <c r="A27" s="60">
        <v>22</v>
      </c>
      <c r="B27" s="24" t="s">
        <v>158</v>
      </c>
      <c r="C27" s="224" t="s">
        <v>413</v>
      </c>
      <c r="D27" s="24" t="s">
        <v>93</v>
      </c>
      <c r="E27" s="27">
        <v>2500</v>
      </c>
      <c r="F27" s="27">
        <v>364</v>
      </c>
      <c r="G27" s="27"/>
      <c r="H27" s="177" t="s">
        <v>368</v>
      </c>
      <c r="I27" s="66" t="s">
        <v>94</v>
      </c>
      <c r="J27" s="66"/>
      <c r="K27" s="27">
        <v>2500</v>
      </c>
      <c r="L27" s="27">
        <v>0</v>
      </c>
      <c r="M27" s="27" t="s">
        <v>18</v>
      </c>
      <c r="N27" s="27" t="s">
        <v>7</v>
      </c>
      <c r="O27" s="24" t="s">
        <v>159</v>
      </c>
      <c r="P27" s="61" t="s">
        <v>160</v>
      </c>
      <c r="Q27" s="9"/>
      <c r="R27" s="9"/>
      <c r="S27" s="9"/>
      <c r="T27" s="9"/>
    </row>
    <row r="28" spans="1:20" ht="15.75" thickBot="1" x14ac:dyDescent="0.3">
      <c r="A28" s="60">
        <v>23</v>
      </c>
      <c r="B28" s="24" t="s">
        <v>161</v>
      </c>
      <c r="C28" s="224" t="s">
        <v>413</v>
      </c>
      <c r="D28" s="24" t="s">
        <v>93</v>
      </c>
      <c r="E28" s="27">
        <v>5000</v>
      </c>
      <c r="F28" s="27">
        <v>364</v>
      </c>
      <c r="G28" s="27"/>
      <c r="H28" s="27" t="s">
        <v>367</v>
      </c>
      <c r="I28" s="66" t="s">
        <v>94</v>
      </c>
      <c r="J28" s="66">
        <v>364</v>
      </c>
      <c r="K28" s="27">
        <v>5000</v>
      </c>
      <c r="L28" s="27">
        <v>0</v>
      </c>
      <c r="M28" s="27" t="s">
        <v>25</v>
      </c>
      <c r="N28" s="27" t="s">
        <v>7</v>
      </c>
      <c r="O28" s="24" t="s">
        <v>162</v>
      </c>
      <c r="P28" s="61" t="s">
        <v>163</v>
      </c>
      <c r="Q28" s="9"/>
      <c r="R28" s="9"/>
      <c r="S28" s="9"/>
      <c r="T28" s="9"/>
    </row>
    <row r="29" spans="1:20" ht="15.75" thickBot="1" x14ac:dyDescent="0.3">
      <c r="A29" s="60">
        <v>24</v>
      </c>
      <c r="B29" s="24" t="s">
        <v>164</v>
      </c>
      <c r="C29" s="224" t="s">
        <v>413</v>
      </c>
      <c r="D29" s="24" t="s">
        <v>93</v>
      </c>
      <c r="E29" s="27">
        <v>640</v>
      </c>
      <c r="F29" s="27">
        <v>364</v>
      </c>
      <c r="G29" s="27"/>
      <c r="H29" s="27" t="s">
        <v>375</v>
      </c>
      <c r="I29" s="66" t="s">
        <v>98</v>
      </c>
      <c r="J29" s="66"/>
      <c r="K29" s="27">
        <f>640+660</f>
        <v>1300</v>
      </c>
      <c r="L29" s="27">
        <v>0</v>
      </c>
      <c r="M29" s="27" t="s">
        <v>18</v>
      </c>
      <c r="N29" s="27" t="s">
        <v>7</v>
      </c>
      <c r="O29" s="24" t="s">
        <v>165</v>
      </c>
      <c r="P29" s="61" t="s">
        <v>166</v>
      </c>
      <c r="Q29" s="9"/>
      <c r="R29" s="9"/>
      <c r="S29" s="9"/>
      <c r="T29" s="9"/>
    </row>
    <row r="30" spans="1:20" ht="15.75" thickBot="1" x14ac:dyDescent="0.3">
      <c r="A30" s="60">
        <v>25</v>
      </c>
      <c r="B30" s="24" t="s">
        <v>167</v>
      </c>
      <c r="C30" s="224" t="s">
        <v>413</v>
      </c>
      <c r="D30" s="24" t="s">
        <v>93</v>
      </c>
      <c r="E30" s="27">
        <v>640</v>
      </c>
      <c r="F30" s="27">
        <v>364</v>
      </c>
      <c r="G30" s="27"/>
      <c r="H30" s="27" t="s">
        <v>365</v>
      </c>
      <c r="I30" s="66" t="s">
        <v>98</v>
      </c>
      <c r="J30" s="66"/>
      <c r="K30" s="27">
        <v>640</v>
      </c>
      <c r="L30" s="27">
        <v>660</v>
      </c>
      <c r="M30" s="27" t="s">
        <v>18</v>
      </c>
      <c r="N30" s="27" t="s">
        <v>7</v>
      </c>
      <c r="O30" s="24" t="s">
        <v>168</v>
      </c>
      <c r="P30" s="61" t="s">
        <v>169</v>
      </c>
      <c r="Q30" s="9"/>
      <c r="R30" s="9"/>
      <c r="S30" s="9"/>
      <c r="T30" s="9"/>
    </row>
    <row r="31" spans="1:20" ht="15.75" thickBot="1" x14ac:dyDescent="0.3">
      <c r="A31" s="60">
        <v>26</v>
      </c>
      <c r="B31" s="24" t="s">
        <v>170</v>
      </c>
      <c r="C31" s="224" t="s">
        <v>413</v>
      </c>
      <c r="D31" s="24" t="s">
        <v>93</v>
      </c>
      <c r="E31" s="27">
        <v>640</v>
      </c>
      <c r="F31" s="27">
        <v>364</v>
      </c>
      <c r="G31" s="27"/>
      <c r="H31" s="27" t="s">
        <v>365</v>
      </c>
      <c r="I31" s="66" t="s">
        <v>98</v>
      </c>
      <c r="J31" s="66">
        <v>364</v>
      </c>
      <c r="K31" s="27">
        <v>0</v>
      </c>
      <c r="L31" s="27">
        <v>1300</v>
      </c>
      <c r="M31" s="27" t="s">
        <v>25</v>
      </c>
      <c r="N31" s="27"/>
      <c r="O31" s="24" t="s">
        <v>171</v>
      </c>
      <c r="P31" s="71" t="s">
        <v>390</v>
      </c>
      <c r="Q31" s="9"/>
      <c r="R31" s="9"/>
      <c r="S31" s="9"/>
      <c r="T31" s="9"/>
    </row>
    <row r="32" spans="1:20" ht="15.75" thickBot="1" x14ac:dyDescent="0.3">
      <c r="A32" s="60">
        <v>27</v>
      </c>
      <c r="B32" s="24" t="s">
        <v>172</v>
      </c>
      <c r="C32" s="224" t="s">
        <v>413</v>
      </c>
      <c r="D32" s="24" t="s">
        <v>93</v>
      </c>
      <c r="E32" s="27">
        <v>640</v>
      </c>
      <c r="F32" s="27">
        <v>364</v>
      </c>
      <c r="G32" s="27"/>
      <c r="H32" s="27">
        <v>2018</v>
      </c>
      <c r="I32" s="66" t="s">
        <v>98</v>
      </c>
      <c r="J32" s="66">
        <v>364</v>
      </c>
      <c r="K32" s="27">
        <v>0</v>
      </c>
      <c r="L32" s="27">
        <v>1300</v>
      </c>
      <c r="M32" s="27" t="s">
        <v>25</v>
      </c>
      <c r="N32" s="27"/>
      <c r="O32" s="24" t="s">
        <v>173</v>
      </c>
      <c r="P32" s="61" t="s">
        <v>174</v>
      </c>
      <c r="Q32" s="9"/>
      <c r="R32" s="9"/>
      <c r="S32" s="9"/>
      <c r="T32" s="9"/>
    </row>
    <row r="33" spans="1:20" ht="15.75" thickBot="1" x14ac:dyDescent="0.3">
      <c r="A33" s="60">
        <v>28</v>
      </c>
      <c r="B33" s="24" t="s">
        <v>175</v>
      </c>
      <c r="C33" s="224" t="s">
        <v>413</v>
      </c>
      <c r="D33" s="24" t="s">
        <v>93</v>
      </c>
      <c r="E33" s="27">
        <v>640</v>
      </c>
      <c r="F33" s="27">
        <v>364</v>
      </c>
      <c r="G33" s="27"/>
      <c r="H33" s="27" t="s">
        <v>367</v>
      </c>
      <c r="I33" s="66" t="s">
        <v>98</v>
      </c>
      <c r="J33" s="66"/>
      <c r="K33" s="27">
        <f>640+660</f>
        <v>1300</v>
      </c>
      <c r="L33" s="27">
        <v>0</v>
      </c>
      <c r="M33" s="27" t="s">
        <v>18</v>
      </c>
      <c r="N33" s="27" t="s">
        <v>7</v>
      </c>
      <c r="O33" s="24" t="s">
        <v>156</v>
      </c>
      <c r="P33" s="61" t="s">
        <v>176</v>
      </c>
      <c r="Q33" s="9"/>
      <c r="R33" s="9"/>
      <c r="S33" s="9"/>
      <c r="T33" s="9"/>
    </row>
    <row r="34" spans="1:20" ht="15.75" thickBot="1" x14ac:dyDescent="0.3">
      <c r="A34" s="60">
        <v>29</v>
      </c>
      <c r="B34" s="24" t="s">
        <v>177</v>
      </c>
      <c r="C34" s="224" t="s">
        <v>413</v>
      </c>
      <c r="D34" s="24" t="s">
        <v>93</v>
      </c>
      <c r="E34" s="27">
        <v>1000</v>
      </c>
      <c r="F34" s="27">
        <v>364</v>
      </c>
      <c r="G34" s="27"/>
      <c r="H34" s="27" t="s">
        <v>367</v>
      </c>
      <c r="I34" s="66" t="s">
        <v>94</v>
      </c>
      <c r="J34" s="66">
        <v>364</v>
      </c>
      <c r="K34" s="27">
        <v>2000</v>
      </c>
      <c r="L34" s="27">
        <v>0</v>
      </c>
      <c r="M34" s="27" t="s">
        <v>18</v>
      </c>
      <c r="N34" s="27" t="s">
        <v>7</v>
      </c>
      <c r="O34" s="24" t="s">
        <v>178</v>
      </c>
      <c r="P34" s="61" t="s">
        <v>179</v>
      </c>
      <c r="Q34" s="9"/>
      <c r="R34" s="9"/>
      <c r="S34" s="9"/>
      <c r="T34" s="9"/>
    </row>
    <row r="35" spans="1:20" ht="15.75" thickBot="1" x14ac:dyDescent="0.3">
      <c r="A35" s="60">
        <v>30</v>
      </c>
      <c r="B35" s="24" t="s">
        <v>180</v>
      </c>
      <c r="C35" s="224" t="s">
        <v>413</v>
      </c>
      <c r="D35" s="24" t="s">
        <v>70</v>
      </c>
      <c r="E35" s="27">
        <v>1300</v>
      </c>
      <c r="F35" s="27">
        <v>364</v>
      </c>
      <c r="G35" s="27"/>
      <c r="H35" s="27"/>
      <c r="I35" s="66" t="s">
        <v>98</v>
      </c>
      <c r="J35" s="66"/>
      <c r="K35" s="27">
        <v>1300</v>
      </c>
      <c r="L35" s="27">
        <v>0</v>
      </c>
      <c r="M35" s="27" t="s">
        <v>25</v>
      </c>
      <c r="N35" s="27"/>
      <c r="O35" s="24" t="s">
        <v>363</v>
      </c>
      <c r="P35" s="71" t="s">
        <v>364</v>
      </c>
      <c r="Q35" s="9"/>
      <c r="R35" s="9"/>
      <c r="S35" s="9"/>
      <c r="T35" s="9"/>
    </row>
    <row r="36" spans="1:20" ht="15.75" thickBot="1" x14ac:dyDescent="0.3">
      <c r="A36" s="60">
        <v>31</v>
      </c>
      <c r="B36" s="24" t="s">
        <v>181</v>
      </c>
      <c r="C36" s="224" t="s">
        <v>413</v>
      </c>
      <c r="D36" s="24" t="s">
        <v>182</v>
      </c>
      <c r="E36" s="27">
        <v>640</v>
      </c>
      <c r="F36" s="27">
        <v>364</v>
      </c>
      <c r="G36" s="27"/>
      <c r="H36" s="27" t="s">
        <v>365</v>
      </c>
      <c r="I36" s="66" t="s">
        <v>98</v>
      </c>
      <c r="J36" s="66"/>
      <c r="K36" s="27">
        <f>640+660</f>
        <v>1300</v>
      </c>
      <c r="L36" s="27">
        <v>0</v>
      </c>
      <c r="M36" s="27" t="s">
        <v>18</v>
      </c>
      <c r="N36" s="27" t="s">
        <v>7</v>
      </c>
      <c r="O36" s="24" t="s">
        <v>377</v>
      </c>
      <c r="P36" s="61" t="s">
        <v>376</v>
      </c>
      <c r="Q36" s="9"/>
      <c r="R36" s="9"/>
      <c r="S36" s="9"/>
      <c r="T36" s="9"/>
    </row>
    <row r="37" spans="1:20" ht="15.75" thickBot="1" x14ac:dyDescent="0.3">
      <c r="A37" s="60">
        <v>32</v>
      </c>
      <c r="B37" s="3" t="s">
        <v>407</v>
      </c>
      <c r="C37" s="224" t="s">
        <v>413</v>
      </c>
      <c r="D37" s="7" t="s">
        <v>70</v>
      </c>
      <c r="E37" s="45">
        <v>8000</v>
      </c>
      <c r="F37" s="7">
        <v>364</v>
      </c>
      <c r="G37" s="45"/>
      <c r="H37" s="45" t="s">
        <v>378</v>
      </c>
      <c r="I37" s="66" t="s">
        <v>71</v>
      </c>
      <c r="J37" s="66"/>
      <c r="K37" s="7">
        <f>5100+2536+364</f>
        <v>8000</v>
      </c>
      <c r="L37" s="45">
        <v>0</v>
      </c>
      <c r="M37" s="27" t="s">
        <v>18</v>
      </c>
      <c r="N37" s="27" t="s">
        <v>7</v>
      </c>
    </row>
    <row r="38" spans="1:20" ht="15.75" thickBot="1" x14ac:dyDescent="0.3">
      <c r="A38" s="60">
        <v>33</v>
      </c>
      <c r="B38" s="3" t="s">
        <v>188</v>
      </c>
      <c r="C38" s="224" t="s">
        <v>413</v>
      </c>
      <c r="D38" s="7" t="s">
        <v>70</v>
      </c>
      <c r="E38" s="45">
        <v>8000</v>
      </c>
      <c r="F38" s="7">
        <v>364</v>
      </c>
      <c r="G38" s="45"/>
      <c r="H38" s="45" t="s">
        <v>378</v>
      </c>
      <c r="I38" s="66" t="s">
        <v>71</v>
      </c>
      <c r="J38" s="66"/>
      <c r="K38" s="7">
        <f>5000+3000</f>
        <v>8000</v>
      </c>
      <c r="L38" s="45">
        <v>0</v>
      </c>
      <c r="M38" s="27" t="s">
        <v>18</v>
      </c>
      <c r="N38" s="27" t="s">
        <v>7</v>
      </c>
    </row>
    <row r="39" spans="1:20" ht="15.75" thickBot="1" x14ac:dyDescent="0.3">
      <c r="A39" s="60">
        <v>34</v>
      </c>
      <c r="B39" s="3" t="s">
        <v>411</v>
      </c>
      <c r="C39" s="224" t="s">
        <v>413</v>
      </c>
      <c r="D39" s="7" t="s">
        <v>70</v>
      </c>
      <c r="E39" s="45">
        <v>8000</v>
      </c>
      <c r="F39" s="7">
        <v>364</v>
      </c>
      <c r="G39" s="45"/>
      <c r="H39" s="45" t="s">
        <v>378</v>
      </c>
      <c r="I39" s="66" t="s">
        <v>412</v>
      </c>
      <c r="J39" s="66"/>
      <c r="K39" s="7">
        <v>3000</v>
      </c>
      <c r="L39" s="45">
        <v>5000</v>
      </c>
      <c r="M39" s="7" t="s">
        <v>25</v>
      </c>
      <c r="N39" s="41"/>
    </row>
    <row r="40" spans="1:20" ht="15.75" thickBot="1" x14ac:dyDescent="0.3">
      <c r="A40" s="60">
        <v>35</v>
      </c>
      <c r="B40" s="3" t="s">
        <v>189</v>
      </c>
      <c r="C40" s="224" t="s">
        <v>413</v>
      </c>
      <c r="D40" s="7" t="s">
        <v>70</v>
      </c>
      <c r="E40" s="45">
        <v>8000</v>
      </c>
      <c r="F40" s="7">
        <v>364</v>
      </c>
      <c r="G40" s="45"/>
      <c r="H40" s="45" t="s">
        <v>378</v>
      </c>
      <c r="I40" s="66" t="s">
        <v>71</v>
      </c>
      <c r="J40" s="66"/>
      <c r="K40" s="7">
        <v>2000</v>
      </c>
      <c r="L40" s="45">
        <v>6000</v>
      </c>
      <c r="M40" s="7" t="s">
        <v>25</v>
      </c>
      <c r="N40" s="41"/>
    </row>
    <row r="41" spans="1:20" ht="15.75" thickBot="1" x14ac:dyDescent="0.3">
      <c r="A41" s="60"/>
      <c r="B41" s="149"/>
      <c r="C41" s="149"/>
      <c r="D41" s="149"/>
      <c r="E41" s="150">
        <v>36580</v>
      </c>
      <c r="F41" s="150">
        <v>10920</v>
      </c>
      <c r="G41" s="150"/>
      <c r="H41" s="150"/>
      <c r="I41" s="151"/>
      <c r="J41" s="151"/>
      <c r="K41" s="152">
        <f>SUM(K6:K36)</f>
        <v>44890</v>
      </c>
      <c r="L41" s="152">
        <f>SUM(L6:L36)</f>
        <v>10090</v>
      </c>
      <c r="M41" s="150"/>
      <c r="N41" s="150"/>
      <c r="O41" s="149"/>
      <c r="P41" s="153"/>
    </row>
    <row r="42" spans="1:20" ht="15.75" x14ac:dyDescent="0.25">
      <c r="K42" s="225">
        <f>SUM(K6:K41)</f>
        <v>110780</v>
      </c>
      <c r="L42" s="225">
        <f>SUM(L6:L41)</f>
        <v>31180</v>
      </c>
    </row>
    <row r="43" spans="1:20" ht="15.75" thickBot="1" x14ac:dyDescent="0.3"/>
    <row r="44" spans="1:20" ht="16.5" thickBot="1" x14ac:dyDescent="0.35">
      <c r="A44" s="55" t="s">
        <v>197</v>
      </c>
      <c r="B44" s="56"/>
      <c r="C44" s="56"/>
      <c r="D44" s="44"/>
      <c r="H44" s="63"/>
      <c r="L44" s="58"/>
      <c r="N44"/>
    </row>
    <row r="45" spans="1:20" s="2" customFormat="1" ht="15.75" thickBot="1" x14ac:dyDescent="0.3">
      <c r="A45" s="94" t="s">
        <v>88</v>
      </c>
      <c r="B45" s="83" t="s">
        <v>184</v>
      </c>
      <c r="C45" s="83" t="s">
        <v>67</v>
      </c>
      <c r="D45" s="84" t="s">
        <v>2</v>
      </c>
      <c r="E45" s="84" t="s">
        <v>5</v>
      </c>
      <c r="F45" s="85" t="s">
        <v>4</v>
      </c>
      <c r="G45" s="85"/>
      <c r="H45" s="83" t="s">
        <v>87</v>
      </c>
      <c r="I45" s="95" t="s">
        <v>6</v>
      </c>
      <c r="J45" s="143" t="s">
        <v>357</v>
      </c>
      <c r="K45" s="84" t="s">
        <v>7</v>
      </c>
      <c r="L45" s="84" t="s">
        <v>8</v>
      </c>
      <c r="M45" s="83" t="s">
        <v>68</v>
      </c>
      <c r="N45" s="86" t="s">
        <v>91</v>
      </c>
    </row>
    <row r="46" spans="1:20" x14ac:dyDescent="0.25">
      <c r="A46" s="91">
        <v>1</v>
      </c>
      <c r="B46" s="19" t="s">
        <v>185</v>
      </c>
      <c r="C46" s="19" t="s">
        <v>20</v>
      </c>
      <c r="D46" s="45" t="s">
        <v>70</v>
      </c>
      <c r="E46" s="45">
        <v>8000</v>
      </c>
      <c r="F46" s="92">
        <v>364</v>
      </c>
      <c r="G46" s="92"/>
      <c r="H46" s="45" t="s">
        <v>378</v>
      </c>
      <c r="I46" s="93" t="s">
        <v>71</v>
      </c>
      <c r="J46" s="93"/>
      <c r="K46" s="45">
        <v>0</v>
      </c>
      <c r="L46" s="45">
        <v>8000</v>
      </c>
      <c r="M46" s="19"/>
      <c r="N46" s="81"/>
    </row>
    <row r="47" spans="1:20" x14ac:dyDescent="0.25">
      <c r="A47" s="91">
        <v>2</v>
      </c>
      <c r="B47" s="3" t="s">
        <v>187</v>
      </c>
      <c r="C47" s="3" t="s">
        <v>20</v>
      </c>
      <c r="D47" s="7" t="s">
        <v>70</v>
      </c>
      <c r="E47" s="45">
        <v>8000</v>
      </c>
      <c r="F47" s="64">
        <v>364</v>
      </c>
      <c r="G47" s="92"/>
      <c r="H47" s="45" t="s">
        <v>378</v>
      </c>
      <c r="I47" s="66" t="s">
        <v>71</v>
      </c>
      <c r="J47" s="66"/>
      <c r="K47" s="7">
        <v>0</v>
      </c>
      <c r="L47" s="45">
        <v>8000</v>
      </c>
      <c r="M47" s="3"/>
      <c r="N47" s="41"/>
    </row>
    <row r="48" spans="1:20" x14ac:dyDescent="0.25">
      <c r="A48" s="91">
        <v>3</v>
      </c>
      <c r="B48" s="3" t="s">
        <v>190</v>
      </c>
      <c r="C48" s="3" t="s">
        <v>20</v>
      </c>
      <c r="D48" s="7" t="s">
        <v>70</v>
      </c>
      <c r="E48" s="45">
        <v>8000</v>
      </c>
      <c r="F48" s="64">
        <v>364</v>
      </c>
      <c r="G48" s="92"/>
      <c r="H48" s="45" t="s">
        <v>378</v>
      </c>
      <c r="I48" s="66" t="s">
        <v>71</v>
      </c>
      <c r="J48" s="66"/>
      <c r="K48" s="7">
        <v>0</v>
      </c>
      <c r="L48" s="45">
        <v>8000</v>
      </c>
      <c r="M48" s="3"/>
      <c r="N48" s="41"/>
    </row>
    <row r="49" spans="1:14" x14ac:dyDescent="0.25">
      <c r="A49" s="91">
        <v>4</v>
      </c>
      <c r="B49" s="3" t="s">
        <v>191</v>
      </c>
      <c r="C49" s="3" t="s">
        <v>20</v>
      </c>
      <c r="D49" s="7" t="s">
        <v>70</v>
      </c>
      <c r="E49" s="45">
        <v>8000</v>
      </c>
      <c r="F49" s="64">
        <v>364</v>
      </c>
      <c r="G49" s="92"/>
      <c r="H49" s="45" t="s">
        <v>378</v>
      </c>
      <c r="I49" s="66" t="s">
        <v>71</v>
      </c>
      <c r="J49" s="66"/>
      <c r="K49" s="7">
        <v>0</v>
      </c>
      <c r="L49" s="45">
        <v>8000</v>
      </c>
      <c r="M49" s="3"/>
      <c r="N49" s="41"/>
    </row>
    <row r="50" spans="1:14" x14ac:dyDescent="0.25">
      <c r="A50" s="91">
        <v>5</v>
      </c>
      <c r="B50" s="3" t="s">
        <v>430</v>
      </c>
      <c r="C50" s="3" t="s">
        <v>20</v>
      </c>
      <c r="D50" s="7" t="s">
        <v>70</v>
      </c>
      <c r="E50" s="45">
        <v>8000</v>
      </c>
      <c r="F50" s="64">
        <v>364</v>
      </c>
      <c r="G50" s="92"/>
      <c r="H50" s="45" t="s">
        <v>378</v>
      </c>
      <c r="I50" s="66" t="s">
        <v>71</v>
      </c>
      <c r="J50" s="66"/>
      <c r="K50" s="7">
        <v>0</v>
      </c>
      <c r="L50" s="45">
        <v>8000</v>
      </c>
      <c r="M50" s="3"/>
      <c r="N50" s="41"/>
    </row>
    <row r="51" spans="1:14" x14ac:dyDescent="0.25">
      <c r="A51" s="91">
        <v>6</v>
      </c>
      <c r="B51" s="3" t="s">
        <v>193</v>
      </c>
      <c r="C51" s="3" t="s">
        <v>20</v>
      </c>
      <c r="D51" s="7" t="s">
        <v>70</v>
      </c>
      <c r="E51" s="45">
        <v>8000</v>
      </c>
      <c r="F51" s="64">
        <v>364</v>
      </c>
      <c r="G51" s="92"/>
      <c r="H51" s="45" t="s">
        <v>378</v>
      </c>
      <c r="I51" s="66" t="s">
        <v>71</v>
      </c>
      <c r="J51" s="66"/>
      <c r="K51" s="7">
        <v>0</v>
      </c>
      <c r="L51" s="45">
        <v>8000</v>
      </c>
      <c r="M51" s="3"/>
      <c r="N51" s="41"/>
    </row>
    <row r="52" spans="1:14" x14ac:dyDescent="0.25">
      <c r="A52" s="91">
        <v>7</v>
      </c>
      <c r="B52" s="3" t="s">
        <v>194</v>
      </c>
      <c r="C52" s="3" t="s">
        <v>20</v>
      </c>
      <c r="D52" s="7" t="s">
        <v>70</v>
      </c>
      <c r="E52" s="45">
        <v>8000</v>
      </c>
      <c r="F52" s="64">
        <v>364</v>
      </c>
      <c r="G52" s="92"/>
      <c r="H52" s="45" t="s">
        <v>378</v>
      </c>
      <c r="I52" s="66" t="s">
        <v>71</v>
      </c>
      <c r="J52" s="66"/>
      <c r="K52" s="7">
        <v>0</v>
      </c>
      <c r="L52" s="45">
        <v>8000</v>
      </c>
      <c r="M52" s="3"/>
      <c r="N52" s="41"/>
    </row>
    <row r="53" spans="1:14" ht="15.75" thickBot="1" x14ac:dyDescent="0.3">
      <c r="A53" s="91">
        <v>8</v>
      </c>
      <c r="B53" s="74" t="s">
        <v>196</v>
      </c>
      <c r="C53" s="74" t="s">
        <v>20</v>
      </c>
      <c r="D53" s="75" t="s">
        <v>70</v>
      </c>
      <c r="E53" s="45">
        <v>8000</v>
      </c>
      <c r="F53" s="97">
        <v>364</v>
      </c>
      <c r="G53" s="231"/>
      <c r="H53" s="45" t="s">
        <v>378</v>
      </c>
      <c r="I53" s="98" t="s">
        <v>71</v>
      </c>
      <c r="J53" s="98"/>
      <c r="K53" s="75">
        <v>0</v>
      </c>
      <c r="L53" s="45">
        <v>8000</v>
      </c>
      <c r="M53" s="74"/>
      <c r="N53" s="76"/>
    </row>
    <row r="54" spans="1:14" ht="15.75" thickBot="1" x14ac:dyDescent="0.3">
      <c r="A54" s="8"/>
      <c r="B54" s="78"/>
      <c r="C54" s="78"/>
      <c r="D54" s="79"/>
      <c r="E54" s="79"/>
      <c r="F54" s="79"/>
      <c r="G54" s="79"/>
      <c r="H54" s="79"/>
      <c r="I54" s="99"/>
      <c r="J54" s="99"/>
      <c r="K54" s="79"/>
      <c r="L54" s="102"/>
      <c r="M54" s="100"/>
      <c r="N54" s="4"/>
    </row>
    <row r="55" spans="1:14" x14ac:dyDescent="0.25">
      <c r="D55" s="1"/>
      <c r="H55" s="63"/>
      <c r="K55" s="219">
        <f>SUM(K46:K54)</f>
        <v>0</v>
      </c>
      <c r="L55" s="226">
        <f>SUM(L46:L54)</f>
        <v>64000</v>
      </c>
      <c r="N55"/>
    </row>
  </sheetData>
  <hyperlinks>
    <hyperlink ref="P35" r:id="rId1" xr:uid="{00000000-0004-0000-0100-000000000000}"/>
    <hyperlink ref="P31" r:id="rId2" xr:uid="{00000000-0004-0000-0100-000001000000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50"/>
  <sheetViews>
    <sheetView topLeftCell="A19" zoomScale="96" zoomScaleNormal="96" workbookViewId="0">
      <selection activeCell="H43" sqref="H43"/>
    </sheetView>
  </sheetViews>
  <sheetFormatPr defaultRowHeight="15" x14ac:dyDescent="0.25"/>
  <cols>
    <col min="1" max="1" width="6" style="1" customWidth="1"/>
    <col min="2" max="2" width="20.85546875" customWidth="1"/>
    <col min="3" max="3" width="15.85546875" style="1" customWidth="1"/>
    <col min="4" max="4" width="24.42578125" style="1" customWidth="1"/>
    <col min="5" max="5" width="22.5703125" style="1" customWidth="1"/>
    <col min="6" max="6" width="11.5703125" style="1" customWidth="1"/>
    <col min="7" max="7" width="19.5703125" style="1" customWidth="1"/>
    <col min="8" max="8" width="14.140625" style="1" customWidth="1"/>
    <col min="9" max="9" width="10.7109375" style="1" customWidth="1"/>
    <col min="10" max="10" width="11.42578125" style="1" customWidth="1"/>
    <col min="11" max="11" width="21.5703125" style="1" customWidth="1"/>
    <col min="12" max="12" width="30" customWidth="1"/>
  </cols>
  <sheetData>
    <row r="2" spans="1:12" ht="36.75" thickBot="1" x14ac:dyDescent="0.6">
      <c r="B2" t="s">
        <v>409</v>
      </c>
      <c r="E2" s="216" t="s">
        <v>401</v>
      </c>
      <c r="F2" s="1" t="s">
        <v>403</v>
      </c>
    </row>
    <row r="3" spans="1:12" ht="16.5" thickBot="1" x14ac:dyDescent="0.35">
      <c r="A3" s="201" t="s">
        <v>63</v>
      </c>
      <c r="B3" s="56"/>
      <c r="D3" s="72"/>
    </row>
    <row r="4" spans="1:12" s="2" customFormat="1" ht="15.75" thickBot="1" x14ac:dyDescent="0.3">
      <c r="A4" s="94" t="s">
        <v>198</v>
      </c>
      <c r="B4" s="83" t="s">
        <v>1</v>
      </c>
      <c r="C4" s="84" t="s">
        <v>10</v>
      </c>
      <c r="D4" s="84" t="s">
        <v>2</v>
      </c>
      <c r="E4" s="84" t="s">
        <v>3</v>
      </c>
      <c r="F4" s="84" t="s">
        <v>5</v>
      </c>
      <c r="G4" s="128" t="s">
        <v>357</v>
      </c>
      <c r="H4" s="128" t="s">
        <v>402</v>
      </c>
      <c r="I4" s="84" t="s">
        <v>7</v>
      </c>
      <c r="J4" s="84" t="s">
        <v>8</v>
      </c>
      <c r="K4" s="84" t="s">
        <v>9</v>
      </c>
      <c r="L4" s="86" t="s">
        <v>11</v>
      </c>
    </row>
    <row r="5" spans="1:12" x14ac:dyDescent="0.25">
      <c r="A5" s="91"/>
      <c r="B5" s="19"/>
      <c r="C5" s="45"/>
      <c r="D5" s="45"/>
      <c r="E5" s="45"/>
      <c r="F5" s="45"/>
      <c r="G5" s="45"/>
      <c r="H5" s="45"/>
      <c r="I5" s="45"/>
      <c r="J5" s="45"/>
      <c r="K5" s="196" t="s">
        <v>12</v>
      </c>
      <c r="L5" s="81"/>
    </row>
    <row r="6" spans="1:12" x14ac:dyDescent="0.25">
      <c r="A6" s="53">
        <v>1</v>
      </c>
      <c r="B6" s="3" t="s">
        <v>199</v>
      </c>
      <c r="C6" s="7" t="s">
        <v>200</v>
      </c>
      <c r="D6" s="7" t="s">
        <v>14</v>
      </c>
      <c r="E6" s="220" t="s">
        <v>413</v>
      </c>
      <c r="F6" s="7">
        <v>1500</v>
      </c>
      <c r="G6" s="7">
        <v>364</v>
      </c>
      <c r="H6" s="7">
        <v>2024</v>
      </c>
      <c r="I6" s="7">
        <v>1500</v>
      </c>
      <c r="J6" s="7">
        <v>0</v>
      </c>
      <c r="K6" s="7" t="s">
        <v>25</v>
      </c>
      <c r="L6" s="41" t="s">
        <v>201</v>
      </c>
    </row>
    <row r="7" spans="1:12" x14ac:dyDescent="0.25">
      <c r="A7" s="53">
        <v>2</v>
      </c>
      <c r="B7" s="3" t="s">
        <v>202</v>
      </c>
      <c r="C7" s="7" t="s">
        <v>203</v>
      </c>
      <c r="D7" s="7" t="s">
        <v>14</v>
      </c>
      <c r="E7" s="220" t="s">
        <v>413</v>
      </c>
      <c r="F7" s="7">
        <v>4000</v>
      </c>
      <c r="G7" s="7">
        <v>364</v>
      </c>
      <c r="H7" s="7">
        <v>2024</v>
      </c>
      <c r="I7" s="7">
        <v>4000</v>
      </c>
      <c r="J7" s="7">
        <v>0</v>
      </c>
      <c r="K7" s="7" t="s">
        <v>25</v>
      </c>
      <c r="L7" s="41" t="s">
        <v>204</v>
      </c>
    </row>
    <row r="8" spans="1:12" x14ac:dyDescent="0.25">
      <c r="A8" s="53">
        <v>3</v>
      </c>
      <c r="B8" s="3" t="s">
        <v>205</v>
      </c>
      <c r="C8" s="7" t="s">
        <v>206</v>
      </c>
      <c r="D8" s="7" t="s">
        <v>14</v>
      </c>
      <c r="E8" s="220" t="s">
        <v>413</v>
      </c>
      <c r="F8" s="7">
        <v>4000</v>
      </c>
      <c r="G8" s="7">
        <v>364</v>
      </c>
      <c r="H8" s="7">
        <v>2024</v>
      </c>
      <c r="I8" s="7">
        <v>2000</v>
      </c>
      <c r="J8" s="7">
        <v>2000</v>
      </c>
      <c r="K8" s="7" t="s">
        <v>25</v>
      </c>
      <c r="L8" s="41" t="s">
        <v>207</v>
      </c>
    </row>
    <row r="9" spans="1:12" x14ac:dyDescent="0.25">
      <c r="A9" s="53">
        <v>4</v>
      </c>
      <c r="B9" s="3" t="s">
        <v>208</v>
      </c>
      <c r="C9" s="7" t="s">
        <v>209</v>
      </c>
      <c r="D9" s="7" t="s">
        <v>14</v>
      </c>
      <c r="E9" s="220" t="s">
        <v>15</v>
      </c>
      <c r="F9" s="7">
        <v>1500</v>
      </c>
      <c r="G9" s="7"/>
      <c r="H9" s="7">
        <v>2021</v>
      </c>
      <c r="I9" s="7">
        <v>0</v>
      </c>
      <c r="J9" s="7">
        <v>1500</v>
      </c>
      <c r="K9" s="7" t="s">
        <v>25</v>
      </c>
      <c r="L9" s="41" t="s">
        <v>210</v>
      </c>
    </row>
    <row r="10" spans="1:12" x14ac:dyDescent="0.25">
      <c r="A10" s="53">
        <v>5</v>
      </c>
      <c r="B10" s="3" t="s">
        <v>211</v>
      </c>
      <c r="C10" s="7" t="s">
        <v>212</v>
      </c>
      <c r="D10" s="7" t="s">
        <v>14</v>
      </c>
      <c r="E10" s="220" t="s">
        <v>15</v>
      </c>
      <c r="F10" s="7">
        <v>1500</v>
      </c>
      <c r="G10" s="7">
        <v>364</v>
      </c>
      <c r="H10" s="7">
        <v>2021</v>
      </c>
      <c r="I10" s="7">
        <v>1500</v>
      </c>
      <c r="J10" s="7">
        <v>0</v>
      </c>
      <c r="K10" s="7" t="s">
        <v>25</v>
      </c>
      <c r="L10" s="41" t="s">
        <v>213</v>
      </c>
    </row>
    <row r="11" spans="1:12" x14ac:dyDescent="0.25">
      <c r="A11" s="53">
        <v>6</v>
      </c>
      <c r="B11" s="3" t="s">
        <v>214</v>
      </c>
      <c r="C11" s="7" t="s">
        <v>215</v>
      </c>
      <c r="D11" s="7" t="s">
        <v>14</v>
      </c>
      <c r="E11" s="220" t="s">
        <v>15</v>
      </c>
      <c r="F11" s="7">
        <v>1500</v>
      </c>
      <c r="G11" s="7">
        <v>364</v>
      </c>
      <c r="H11" s="7">
        <v>2022</v>
      </c>
      <c r="I11" s="7">
        <v>0</v>
      </c>
      <c r="J11" s="7">
        <v>1500</v>
      </c>
      <c r="K11" s="7" t="s">
        <v>25</v>
      </c>
      <c r="L11" s="41" t="s">
        <v>216</v>
      </c>
    </row>
    <row r="12" spans="1:12" x14ac:dyDescent="0.25">
      <c r="A12" s="53">
        <v>7</v>
      </c>
      <c r="B12" s="3" t="s">
        <v>217</v>
      </c>
      <c r="C12" s="7" t="s">
        <v>218</v>
      </c>
      <c r="D12" s="7" t="s">
        <v>14</v>
      </c>
      <c r="E12" s="220" t="s">
        <v>15</v>
      </c>
      <c r="F12" s="7">
        <v>1500</v>
      </c>
      <c r="G12" s="7"/>
      <c r="H12" s="7">
        <v>2022</v>
      </c>
      <c r="I12" s="7">
        <v>0</v>
      </c>
      <c r="J12" s="7">
        <v>1500</v>
      </c>
      <c r="K12" s="7" t="s">
        <v>25</v>
      </c>
      <c r="L12" s="41" t="s">
        <v>219</v>
      </c>
    </row>
    <row r="13" spans="1:12" x14ac:dyDescent="0.25">
      <c r="A13" s="53">
        <v>8</v>
      </c>
      <c r="B13" s="3" t="s">
        <v>220</v>
      </c>
      <c r="C13" s="7" t="s">
        <v>221</v>
      </c>
      <c r="D13" s="7" t="s">
        <v>14</v>
      </c>
      <c r="E13" s="220" t="s">
        <v>15</v>
      </c>
      <c r="F13" s="7">
        <v>1500</v>
      </c>
      <c r="G13" s="7"/>
      <c r="H13" s="7">
        <v>2021</v>
      </c>
      <c r="I13" s="7">
        <v>0</v>
      </c>
      <c r="J13" s="7">
        <v>1500</v>
      </c>
      <c r="K13" s="7" t="s">
        <v>25</v>
      </c>
      <c r="L13" s="41" t="s">
        <v>222</v>
      </c>
    </row>
    <row r="14" spans="1:12" x14ac:dyDescent="0.25">
      <c r="A14" s="53">
        <v>9</v>
      </c>
      <c r="B14" s="3" t="s">
        <v>223</v>
      </c>
      <c r="C14" s="7" t="s">
        <v>224</v>
      </c>
      <c r="D14" s="7" t="s">
        <v>14</v>
      </c>
      <c r="E14" s="220" t="s">
        <v>15</v>
      </c>
      <c r="F14" s="7">
        <v>1500</v>
      </c>
      <c r="G14" s="7"/>
      <c r="H14" s="7">
        <v>2021</v>
      </c>
      <c r="I14" s="7">
        <v>0</v>
      </c>
      <c r="J14" s="7">
        <v>1500</v>
      </c>
      <c r="K14" s="7" t="s">
        <v>25</v>
      </c>
      <c r="L14" s="41" t="s">
        <v>225</v>
      </c>
    </row>
    <row r="15" spans="1:12" x14ac:dyDescent="0.25">
      <c r="A15" s="53">
        <v>10</v>
      </c>
      <c r="B15" s="3" t="s">
        <v>226</v>
      </c>
      <c r="C15" s="7" t="s">
        <v>227</v>
      </c>
      <c r="D15" s="7" t="s">
        <v>14</v>
      </c>
      <c r="E15" s="220" t="s">
        <v>15</v>
      </c>
      <c r="F15" s="7">
        <v>1500</v>
      </c>
      <c r="G15" s="7"/>
      <c r="H15" s="7"/>
      <c r="I15" s="7">
        <v>0</v>
      </c>
      <c r="J15" s="7">
        <v>1500</v>
      </c>
      <c r="K15" s="7" t="s">
        <v>25</v>
      </c>
      <c r="L15" s="41" t="s">
        <v>228</v>
      </c>
    </row>
    <row r="16" spans="1:12" x14ac:dyDescent="0.25">
      <c r="A16" s="53">
        <v>11</v>
      </c>
      <c r="B16" s="3" t="s">
        <v>229</v>
      </c>
      <c r="C16" s="7" t="s">
        <v>230</v>
      </c>
      <c r="D16" s="7" t="s">
        <v>14</v>
      </c>
      <c r="E16" s="220" t="s">
        <v>15</v>
      </c>
      <c r="F16" s="7">
        <v>1500</v>
      </c>
      <c r="G16" s="7">
        <v>364</v>
      </c>
      <c r="H16" s="7">
        <v>2023</v>
      </c>
      <c r="I16" s="7">
        <v>1500</v>
      </c>
      <c r="J16" s="7">
        <v>0</v>
      </c>
      <c r="K16" s="7" t="s">
        <v>25</v>
      </c>
      <c r="L16" s="41" t="s">
        <v>231</v>
      </c>
    </row>
    <row r="17" spans="1:12" x14ac:dyDescent="0.25">
      <c r="A17" s="53">
        <v>12</v>
      </c>
      <c r="B17" s="3" t="s">
        <v>232</v>
      </c>
      <c r="C17" s="7" t="s">
        <v>233</v>
      </c>
      <c r="D17" s="7" t="s">
        <v>14</v>
      </c>
      <c r="E17" s="7" t="s">
        <v>20</v>
      </c>
      <c r="F17" s="7">
        <v>1500</v>
      </c>
      <c r="G17" s="7">
        <v>364</v>
      </c>
      <c r="H17" s="7">
        <v>2022</v>
      </c>
      <c r="I17" s="7">
        <v>0</v>
      </c>
      <c r="J17" s="7">
        <v>640</v>
      </c>
      <c r="K17" s="7" t="s">
        <v>25</v>
      </c>
      <c r="L17" s="71" t="s">
        <v>379</v>
      </c>
    </row>
    <row r="18" spans="1:12" x14ac:dyDescent="0.25">
      <c r="A18" s="53">
        <v>13</v>
      </c>
      <c r="B18" s="3" t="s">
        <v>234</v>
      </c>
      <c r="C18" s="7" t="s">
        <v>235</v>
      </c>
      <c r="D18" s="7" t="s">
        <v>14</v>
      </c>
      <c r="E18" s="220" t="s">
        <v>15</v>
      </c>
      <c r="F18" s="7">
        <v>1500</v>
      </c>
      <c r="G18" s="7"/>
      <c r="H18" s="7">
        <v>2018</v>
      </c>
      <c r="I18" s="7">
        <v>0</v>
      </c>
      <c r="J18" s="7">
        <v>1500</v>
      </c>
      <c r="K18" s="7" t="s">
        <v>25</v>
      </c>
      <c r="L18" s="41" t="s">
        <v>236</v>
      </c>
    </row>
    <row r="19" spans="1:12" x14ac:dyDescent="0.25">
      <c r="A19" s="53">
        <v>14</v>
      </c>
      <c r="B19" s="3" t="s">
        <v>237</v>
      </c>
      <c r="C19" s="7" t="s">
        <v>238</v>
      </c>
      <c r="D19" s="7" t="s">
        <v>14</v>
      </c>
      <c r="E19" s="7" t="s">
        <v>20</v>
      </c>
      <c r="F19" s="7">
        <v>1500</v>
      </c>
      <c r="G19" s="7"/>
      <c r="H19" s="7"/>
      <c r="I19" s="7">
        <v>0</v>
      </c>
      <c r="J19" s="7">
        <v>1000</v>
      </c>
      <c r="K19" s="7" t="s">
        <v>25</v>
      </c>
      <c r="L19" s="41" t="s">
        <v>239</v>
      </c>
    </row>
    <row r="20" spans="1:12" x14ac:dyDescent="0.25">
      <c r="A20" s="53">
        <v>15</v>
      </c>
      <c r="B20" s="3" t="s">
        <v>240</v>
      </c>
      <c r="C20" s="7" t="s">
        <v>241</v>
      </c>
      <c r="D20" s="7" t="s">
        <v>14</v>
      </c>
      <c r="E20" s="220" t="s">
        <v>15</v>
      </c>
      <c r="F20" s="7">
        <v>1500</v>
      </c>
      <c r="G20" s="7">
        <v>364</v>
      </c>
      <c r="H20" s="7">
        <v>2023</v>
      </c>
      <c r="I20" s="7">
        <v>0</v>
      </c>
      <c r="J20" s="7">
        <v>1500</v>
      </c>
      <c r="K20" s="7" t="s">
        <v>25</v>
      </c>
      <c r="L20" s="41" t="s">
        <v>242</v>
      </c>
    </row>
    <row r="21" spans="1:12" x14ac:dyDescent="0.25">
      <c r="A21" s="53">
        <v>16</v>
      </c>
      <c r="B21" s="3" t="s">
        <v>243</v>
      </c>
      <c r="C21" s="7" t="s">
        <v>244</v>
      </c>
      <c r="D21" s="7" t="s">
        <v>14</v>
      </c>
      <c r="E21" s="220" t="s">
        <v>15</v>
      </c>
      <c r="F21" s="7">
        <v>1500</v>
      </c>
      <c r="G21" s="7"/>
      <c r="H21" s="7">
        <v>2023</v>
      </c>
      <c r="I21" s="7">
        <v>0</v>
      </c>
      <c r="J21" s="7">
        <v>1500</v>
      </c>
      <c r="K21" s="7" t="s">
        <v>25</v>
      </c>
      <c r="L21" s="41" t="s">
        <v>245</v>
      </c>
    </row>
    <row r="22" spans="1:12" x14ac:dyDescent="0.25">
      <c r="A22" s="53">
        <v>17</v>
      </c>
      <c r="B22" s="3" t="s">
        <v>263</v>
      </c>
      <c r="C22" s="7" t="s">
        <v>420</v>
      </c>
      <c r="D22" s="7" t="s">
        <v>14</v>
      </c>
      <c r="E22" s="220" t="s">
        <v>15</v>
      </c>
      <c r="F22" s="7">
        <v>4000</v>
      </c>
      <c r="G22" s="7"/>
      <c r="H22" s="7"/>
      <c r="I22" s="7">
        <v>0</v>
      </c>
      <c r="J22" s="7">
        <v>4000</v>
      </c>
      <c r="K22" s="7"/>
    </row>
    <row r="23" spans="1:12" x14ac:dyDescent="0.25">
      <c r="A23" s="53">
        <v>18</v>
      </c>
      <c r="B23" s="3" t="s">
        <v>246</v>
      </c>
      <c r="C23" s="7" t="s">
        <v>247</v>
      </c>
      <c r="D23" s="7" t="s">
        <v>14</v>
      </c>
      <c r="E23" s="7" t="s">
        <v>20</v>
      </c>
      <c r="F23" s="7">
        <v>1500</v>
      </c>
      <c r="G23" s="7"/>
      <c r="H23" s="7">
        <v>2024</v>
      </c>
      <c r="I23" s="7">
        <v>0</v>
      </c>
      <c r="J23" s="7">
        <v>1500</v>
      </c>
      <c r="K23" s="7" t="s">
        <v>25</v>
      </c>
      <c r="L23" s="41" t="s">
        <v>248</v>
      </c>
    </row>
    <row r="24" spans="1:12" x14ac:dyDescent="0.25">
      <c r="A24" s="53">
        <v>19</v>
      </c>
      <c r="B24" s="3" t="s">
        <v>249</v>
      </c>
      <c r="C24" s="7" t="s">
        <v>250</v>
      </c>
      <c r="D24" s="7" t="s">
        <v>14</v>
      </c>
      <c r="E24" s="7" t="s">
        <v>20</v>
      </c>
      <c r="F24" s="7">
        <v>1500</v>
      </c>
      <c r="G24" s="7"/>
      <c r="H24" s="7">
        <v>2022</v>
      </c>
      <c r="I24" s="7">
        <v>0</v>
      </c>
      <c r="J24" s="7">
        <v>1500</v>
      </c>
      <c r="K24" s="7" t="s">
        <v>25</v>
      </c>
      <c r="L24" s="41" t="s">
        <v>251</v>
      </c>
    </row>
    <row r="25" spans="1:12" x14ac:dyDescent="0.25">
      <c r="A25" s="53">
        <v>20</v>
      </c>
      <c r="B25" s="3" t="s">
        <v>252</v>
      </c>
      <c r="C25" s="7" t="s">
        <v>253</v>
      </c>
      <c r="D25" s="7" t="s">
        <v>14</v>
      </c>
      <c r="E25" s="220" t="s">
        <v>413</v>
      </c>
      <c r="F25" s="7">
        <v>1500</v>
      </c>
      <c r="G25" s="7"/>
      <c r="H25" s="7">
        <v>2015</v>
      </c>
      <c r="I25" s="7">
        <v>0</v>
      </c>
      <c r="J25" s="7">
        <v>1500</v>
      </c>
      <c r="K25" s="7" t="s">
        <v>25</v>
      </c>
      <c r="L25" s="41" t="s">
        <v>254</v>
      </c>
    </row>
    <row r="26" spans="1:12" x14ac:dyDescent="0.25">
      <c r="A26" s="53">
        <v>21</v>
      </c>
      <c r="B26" s="3" t="s">
        <v>255</v>
      </c>
      <c r="C26" s="7" t="s">
        <v>256</v>
      </c>
      <c r="D26" s="7" t="s">
        <v>14</v>
      </c>
      <c r="E26" s="7" t="s">
        <v>20</v>
      </c>
      <c r="F26" s="7">
        <v>1500</v>
      </c>
      <c r="G26" s="7">
        <v>364</v>
      </c>
      <c r="H26" s="7"/>
      <c r="I26" s="7">
        <v>0</v>
      </c>
      <c r="J26" s="7">
        <v>1500</v>
      </c>
      <c r="K26" s="7" t="s">
        <v>25</v>
      </c>
      <c r="L26" s="41" t="s">
        <v>257</v>
      </c>
    </row>
    <row r="27" spans="1:12" ht="15.75" thickBot="1" x14ac:dyDescent="0.3">
      <c r="A27" s="53">
        <v>23</v>
      </c>
      <c r="B27" s="74" t="s">
        <v>404</v>
      </c>
      <c r="C27" s="75" t="s">
        <v>405</v>
      </c>
      <c r="D27" s="75"/>
      <c r="E27" s="7" t="s">
        <v>20</v>
      </c>
      <c r="F27" s="75">
        <v>1500</v>
      </c>
      <c r="G27" s="75"/>
      <c r="H27" s="75">
        <v>2023</v>
      </c>
      <c r="I27" s="7">
        <v>1500</v>
      </c>
      <c r="J27" s="75">
        <v>0</v>
      </c>
      <c r="K27" s="7" t="s">
        <v>25</v>
      </c>
      <c r="L27" s="71" t="s">
        <v>406</v>
      </c>
    </row>
    <row r="28" spans="1:12" ht="15.75" thickBot="1" x14ac:dyDescent="0.3">
      <c r="A28" s="8" t="s">
        <v>258</v>
      </c>
      <c r="B28" s="78"/>
      <c r="C28" s="79"/>
      <c r="D28" s="79"/>
      <c r="E28" s="79"/>
      <c r="F28" s="79">
        <f>SUM(F6:F27)</f>
        <v>40500</v>
      </c>
      <c r="G28" s="79"/>
      <c r="H28" s="79"/>
      <c r="I28" s="104">
        <f>SUM(I6:I27)</f>
        <v>12000</v>
      </c>
      <c r="J28" s="104">
        <f>SUM(J6:J27)</f>
        <v>27140</v>
      </c>
      <c r="K28" s="79"/>
      <c r="L28" s="4"/>
    </row>
    <row r="32" spans="1:12" ht="15.75" x14ac:dyDescent="0.3">
      <c r="A32" s="207" t="s">
        <v>197</v>
      </c>
      <c r="B32" s="208"/>
      <c r="C32" s="7"/>
      <c r="D32" s="207"/>
    </row>
    <row r="33" spans="1:11" s="2" customFormat="1" ht="15.75" thickBot="1" x14ac:dyDescent="0.3">
      <c r="A33" s="204" t="s">
        <v>198</v>
      </c>
      <c r="B33" s="205" t="s">
        <v>184</v>
      </c>
      <c r="C33" s="206" t="s">
        <v>66</v>
      </c>
      <c r="D33" s="206" t="s">
        <v>67</v>
      </c>
      <c r="E33" s="47" t="s">
        <v>2</v>
      </c>
      <c r="F33" s="47" t="s">
        <v>5</v>
      </c>
      <c r="G33" s="47" t="s">
        <v>429</v>
      </c>
      <c r="H33" s="47"/>
      <c r="I33" s="47" t="s">
        <v>7</v>
      </c>
      <c r="J33" s="47" t="s">
        <v>8</v>
      </c>
      <c r="K33" s="47" t="s">
        <v>68</v>
      </c>
    </row>
    <row r="34" spans="1:11" x14ac:dyDescent="0.25">
      <c r="A34" s="91">
        <v>1</v>
      </c>
      <c r="B34" s="3" t="s">
        <v>259</v>
      </c>
      <c r="C34" s="7" t="s">
        <v>415</v>
      </c>
      <c r="D34" s="7" t="s">
        <v>20</v>
      </c>
      <c r="E34" s="7" t="s">
        <v>70</v>
      </c>
      <c r="F34" s="7">
        <v>8000</v>
      </c>
      <c r="G34" s="7"/>
      <c r="H34" s="7"/>
      <c r="I34" s="7">
        <v>0</v>
      </c>
      <c r="J34" s="7">
        <v>8000</v>
      </c>
      <c r="K34" s="7"/>
    </row>
    <row r="35" spans="1:11" x14ac:dyDescent="0.25">
      <c r="A35" s="91">
        <v>2</v>
      </c>
      <c r="B35" s="3" t="s">
        <v>260</v>
      </c>
      <c r="C35" s="7" t="s">
        <v>416</v>
      </c>
      <c r="D35" s="7" t="s">
        <v>20</v>
      </c>
      <c r="E35" s="7" t="s">
        <v>70</v>
      </c>
      <c r="F35" s="7">
        <v>8000</v>
      </c>
      <c r="G35" s="7"/>
      <c r="H35" s="7"/>
      <c r="I35" s="7">
        <v>0</v>
      </c>
      <c r="J35" s="7">
        <v>8000</v>
      </c>
      <c r="K35" s="7"/>
    </row>
    <row r="36" spans="1:11" x14ac:dyDescent="0.25">
      <c r="A36" s="91">
        <v>3</v>
      </c>
      <c r="B36" s="3" t="s">
        <v>261</v>
      </c>
      <c r="C36" s="7" t="s">
        <v>417</v>
      </c>
      <c r="D36" s="7" t="s">
        <v>20</v>
      </c>
      <c r="E36" s="7" t="s">
        <v>70</v>
      </c>
      <c r="F36" s="7">
        <v>8000</v>
      </c>
      <c r="G36" s="7"/>
      <c r="H36" s="7"/>
      <c r="I36" s="7">
        <v>0</v>
      </c>
      <c r="J36" s="7">
        <v>8000</v>
      </c>
      <c r="K36" s="7"/>
    </row>
    <row r="37" spans="1:11" x14ac:dyDescent="0.25">
      <c r="A37" s="91">
        <v>4</v>
      </c>
      <c r="B37" s="3" t="s">
        <v>262</v>
      </c>
      <c r="C37" s="7" t="s">
        <v>418</v>
      </c>
      <c r="D37" s="7" t="s">
        <v>20</v>
      </c>
      <c r="E37" s="7" t="s">
        <v>70</v>
      </c>
      <c r="F37" s="7">
        <v>8000</v>
      </c>
      <c r="G37" s="7"/>
      <c r="H37" s="7"/>
      <c r="I37" s="7">
        <v>0</v>
      </c>
      <c r="J37" s="7">
        <v>8000</v>
      </c>
      <c r="K37" s="7"/>
    </row>
    <row r="38" spans="1:11" x14ac:dyDescent="0.25">
      <c r="A38" s="91">
        <v>5</v>
      </c>
      <c r="B38" s="3" t="s">
        <v>264</v>
      </c>
      <c r="C38" s="7" t="s">
        <v>421</v>
      </c>
      <c r="D38" s="7" t="s">
        <v>20</v>
      </c>
      <c r="E38" s="7" t="s">
        <v>70</v>
      </c>
      <c r="F38" s="7">
        <v>8000</v>
      </c>
      <c r="G38" s="7"/>
      <c r="H38" s="7"/>
      <c r="I38" s="7">
        <v>0</v>
      </c>
      <c r="J38" s="7">
        <v>8000</v>
      </c>
      <c r="K38" s="7"/>
    </row>
    <row r="39" spans="1:11" x14ac:dyDescent="0.25">
      <c r="A39" s="91">
        <v>7</v>
      </c>
      <c r="B39" s="3" t="s">
        <v>265</v>
      </c>
      <c r="C39" s="7" t="s">
        <v>422</v>
      </c>
      <c r="D39" s="7" t="s">
        <v>20</v>
      </c>
      <c r="E39" s="7" t="s">
        <v>70</v>
      </c>
      <c r="F39" s="7">
        <v>8000</v>
      </c>
      <c r="G39" s="7"/>
      <c r="H39" s="7"/>
      <c r="I39" s="7">
        <v>0</v>
      </c>
      <c r="J39" s="7">
        <v>8000</v>
      </c>
      <c r="K39" s="7"/>
    </row>
    <row r="40" spans="1:11" x14ac:dyDescent="0.25">
      <c r="A40" s="91">
        <v>8</v>
      </c>
      <c r="B40" s="3" t="s">
        <v>266</v>
      </c>
      <c r="C40" s="7" t="s">
        <v>419</v>
      </c>
      <c r="D40" s="7" t="s">
        <v>20</v>
      </c>
      <c r="E40" s="7" t="s">
        <v>70</v>
      </c>
      <c r="F40" s="7">
        <v>8000</v>
      </c>
      <c r="G40" s="7"/>
      <c r="H40" s="7"/>
      <c r="I40" s="7">
        <v>0</v>
      </c>
      <c r="J40" s="7">
        <v>8000</v>
      </c>
      <c r="K40" s="7"/>
    </row>
    <row r="41" spans="1:11" x14ac:dyDescent="0.25">
      <c r="A41" s="91">
        <v>9</v>
      </c>
      <c r="B41" s="3" t="s">
        <v>267</v>
      </c>
      <c r="C41" s="7" t="s">
        <v>423</v>
      </c>
      <c r="D41" s="7" t="s">
        <v>20</v>
      </c>
      <c r="E41" s="7" t="s">
        <v>70</v>
      </c>
      <c r="F41" s="7">
        <v>8000</v>
      </c>
      <c r="G41" s="7"/>
      <c r="H41" s="7"/>
      <c r="I41" s="7">
        <v>0</v>
      </c>
      <c r="J41" s="7">
        <v>8000</v>
      </c>
      <c r="K41" s="7"/>
    </row>
    <row r="42" spans="1:11" x14ac:dyDescent="0.25">
      <c r="A42" s="91">
        <v>10</v>
      </c>
      <c r="B42" s="3" t="s">
        <v>268</v>
      </c>
      <c r="C42" s="7" t="s">
        <v>317</v>
      </c>
      <c r="D42" s="7" t="s">
        <v>20</v>
      </c>
      <c r="E42" s="7" t="s">
        <v>70</v>
      </c>
      <c r="F42" s="7">
        <v>8000</v>
      </c>
      <c r="G42" s="7"/>
      <c r="H42" s="7"/>
      <c r="I42" s="7">
        <v>0</v>
      </c>
      <c r="J42" s="7">
        <v>8000</v>
      </c>
      <c r="K42" s="7"/>
    </row>
    <row r="43" spans="1:11" x14ac:dyDescent="0.25">
      <c r="A43" s="91">
        <v>11</v>
      </c>
      <c r="B43" s="3" t="s">
        <v>414</v>
      </c>
      <c r="C43" s="7" t="s">
        <v>424</v>
      </c>
      <c r="D43" s="7" t="s">
        <v>20</v>
      </c>
      <c r="E43" s="7" t="s">
        <v>70</v>
      </c>
      <c r="F43" s="7">
        <v>8000</v>
      </c>
      <c r="G43" s="7"/>
      <c r="H43" s="7"/>
      <c r="I43" s="7">
        <v>4200</v>
      </c>
      <c r="J43" s="7">
        <f>5000-4200</f>
        <v>800</v>
      </c>
      <c r="K43" s="7"/>
    </row>
    <row r="44" spans="1:11" x14ac:dyDescent="0.25">
      <c r="A44" s="91">
        <v>12</v>
      </c>
      <c r="B44" s="3" t="s">
        <v>269</v>
      </c>
      <c r="C44" s="7" t="s">
        <v>425</v>
      </c>
      <c r="D44" s="7" t="s">
        <v>20</v>
      </c>
      <c r="E44" s="7" t="s">
        <v>70</v>
      </c>
      <c r="F44" s="7">
        <v>8000</v>
      </c>
      <c r="G44" s="7"/>
      <c r="H44" s="7"/>
      <c r="I44" s="7">
        <v>0</v>
      </c>
      <c r="J44" s="7">
        <v>8000</v>
      </c>
      <c r="K44" s="7"/>
    </row>
    <row r="45" spans="1:11" x14ac:dyDescent="0.25">
      <c r="A45" s="91">
        <v>13</v>
      </c>
      <c r="B45" s="3" t="s">
        <v>270</v>
      </c>
      <c r="C45" s="7" t="s">
        <v>81</v>
      </c>
      <c r="D45" s="7" t="s">
        <v>20</v>
      </c>
      <c r="E45" s="7" t="s">
        <v>70</v>
      </c>
      <c r="F45" s="7">
        <v>8000</v>
      </c>
      <c r="G45" s="7"/>
      <c r="H45" s="7"/>
      <c r="I45" s="7">
        <v>0</v>
      </c>
      <c r="J45" s="7">
        <v>8000</v>
      </c>
      <c r="K45" s="7"/>
    </row>
    <row r="46" spans="1:11" x14ac:dyDescent="0.25">
      <c r="A46" s="91">
        <v>14</v>
      </c>
      <c r="B46" s="3" t="s">
        <v>271</v>
      </c>
      <c r="C46" s="7" t="s">
        <v>426</v>
      </c>
      <c r="D46" s="7" t="s">
        <v>20</v>
      </c>
      <c r="E46" s="7" t="s">
        <v>70</v>
      </c>
      <c r="F46" s="7">
        <v>8000</v>
      </c>
      <c r="G46" s="7"/>
      <c r="H46" s="7"/>
      <c r="I46" s="7">
        <v>0</v>
      </c>
      <c r="J46" s="7">
        <v>8000</v>
      </c>
      <c r="K46" s="7"/>
    </row>
    <row r="47" spans="1:11" x14ac:dyDescent="0.25">
      <c r="A47" s="91">
        <v>15</v>
      </c>
      <c r="B47" s="3" t="s">
        <v>272</v>
      </c>
      <c r="C47" s="7" t="s">
        <v>427</v>
      </c>
      <c r="D47" s="7" t="s">
        <v>20</v>
      </c>
      <c r="E47" s="7" t="s">
        <v>70</v>
      </c>
      <c r="F47" s="7">
        <v>8000</v>
      </c>
      <c r="G47" s="7"/>
      <c r="H47" s="7"/>
      <c r="I47" s="7">
        <v>0</v>
      </c>
      <c r="J47" s="7">
        <v>8000</v>
      </c>
      <c r="K47" s="7"/>
    </row>
    <row r="48" spans="1:11" x14ac:dyDescent="0.25">
      <c r="A48" s="91">
        <v>16</v>
      </c>
      <c r="B48" s="3" t="s">
        <v>273</v>
      </c>
      <c r="C48" s="7" t="s">
        <v>428</v>
      </c>
      <c r="D48" s="7" t="s">
        <v>20</v>
      </c>
      <c r="E48" s="7" t="s">
        <v>70</v>
      </c>
      <c r="F48" s="7">
        <v>8000</v>
      </c>
      <c r="G48" s="7"/>
      <c r="H48" s="7"/>
      <c r="I48" s="7">
        <v>0</v>
      </c>
      <c r="J48" s="7">
        <v>8000</v>
      </c>
      <c r="K48" s="7"/>
    </row>
    <row r="49" spans="1:11" ht="15.75" thickBot="1" x14ac:dyDescent="0.3">
      <c r="A49" s="91">
        <v>17</v>
      </c>
      <c r="B49" s="3" t="s">
        <v>274</v>
      </c>
      <c r="C49" s="7" t="s">
        <v>307</v>
      </c>
      <c r="D49" s="7" t="s">
        <v>20</v>
      </c>
      <c r="E49" s="7" t="s">
        <v>70</v>
      </c>
      <c r="F49" s="7">
        <v>8000</v>
      </c>
      <c r="G49" s="7"/>
      <c r="H49" s="7"/>
      <c r="I49" s="7">
        <v>0</v>
      </c>
      <c r="J49" s="7">
        <v>8000</v>
      </c>
      <c r="K49" s="7"/>
    </row>
    <row r="50" spans="1:11" ht="15.75" thickBot="1" x14ac:dyDescent="0.3">
      <c r="A50" s="8"/>
      <c r="B50" s="180"/>
      <c r="C50" s="223"/>
      <c r="D50" s="181"/>
      <c r="E50" s="181"/>
      <c r="F50" s="181">
        <f>SUM(F34:F49)</f>
        <v>128000</v>
      </c>
      <c r="G50" s="181"/>
      <c r="H50" s="181"/>
      <c r="I50" s="181">
        <f>SUM(I34:I49)</f>
        <v>4200</v>
      </c>
      <c r="J50" s="202">
        <f>SUM(J34:J49)</f>
        <v>120800</v>
      </c>
      <c r="K50" s="203"/>
    </row>
  </sheetData>
  <phoneticPr fontId="29" type="noConversion"/>
  <hyperlinks>
    <hyperlink ref="L17" r:id="rId1" xr:uid="{00000000-0004-0000-0200-000000000000}"/>
    <hyperlink ref="L27" r:id="rId2" xr:uid="{FB9385BC-0806-486E-B66C-4CED0C1E6ED6}"/>
  </hyperlinks>
  <pageMargins left="0.7" right="0.7" top="0.75" bottom="0.75" header="0.3" footer="0.3"/>
  <pageSetup paperSize="9" scale="73" orientation="landscape" horizontalDpi="4294967293" verticalDpi="0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"/>
  <sheetViews>
    <sheetView topLeftCell="A13" zoomScale="112" zoomScaleNormal="112" workbookViewId="0">
      <selection activeCell="C35" sqref="C35"/>
    </sheetView>
  </sheetViews>
  <sheetFormatPr defaultRowHeight="15" x14ac:dyDescent="0.25"/>
  <cols>
    <col min="1" max="1" width="5.5703125" customWidth="1"/>
    <col min="2" max="2" width="17.85546875" customWidth="1"/>
    <col min="3" max="3" width="19.5703125" customWidth="1"/>
    <col min="4" max="4" width="17.42578125" customWidth="1"/>
    <col min="5" max="5" width="15.85546875" style="1" customWidth="1"/>
    <col min="6" max="6" width="10.7109375" style="209" customWidth="1"/>
    <col min="7" max="7" width="21.140625" customWidth="1"/>
    <col min="8" max="8" width="15.28515625" customWidth="1"/>
    <col min="9" max="9" width="15.28515625" style="1" customWidth="1"/>
    <col min="10" max="10" width="9.140625" style="1"/>
    <col min="11" max="11" width="11.85546875" style="1" bestFit="1" customWidth="1"/>
    <col min="12" max="12" width="12.85546875" customWidth="1"/>
    <col min="13" max="13" width="9.85546875" customWidth="1"/>
    <col min="14" max="14" width="12.5703125" customWidth="1"/>
    <col min="15" max="15" width="31.140625" customWidth="1"/>
  </cols>
  <sheetData>
    <row r="1" spans="1:17" ht="15.75" thickBot="1" x14ac:dyDescent="0.3"/>
    <row r="2" spans="1:17" ht="16.5" thickBot="1" x14ac:dyDescent="0.35">
      <c r="G2" s="106" t="s">
        <v>291</v>
      </c>
    </row>
    <row r="3" spans="1:17" ht="15.75" thickBot="1" x14ac:dyDescent="0.3"/>
    <row r="4" spans="1:17" ht="16.5" thickBot="1" x14ac:dyDescent="0.35">
      <c r="A4" s="120" t="s">
        <v>63</v>
      </c>
      <c r="B4" s="88"/>
      <c r="C4" s="88"/>
      <c r="D4" s="89"/>
    </row>
    <row r="5" spans="1:17" ht="15.75" thickBot="1" x14ac:dyDescent="0.3">
      <c r="A5" s="111" t="s">
        <v>65</v>
      </c>
      <c r="B5" s="112" t="s">
        <v>89</v>
      </c>
      <c r="C5" s="112" t="s">
        <v>67</v>
      </c>
      <c r="D5" s="112" t="s">
        <v>2</v>
      </c>
      <c r="E5" s="101" t="s">
        <v>5</v>
      </c>
      <c r="F5" s="210" t="s">
        <v>4</v>
      </c>
      <c r="G5" s="112" t="s">
        <v>87</v>
      </c>
      <c r="H5" s="112" t="s">
        <v>6</v>
      </c>
      <c r="I5" s="127" t="s">
        <v>304</v>
      </c>
      <c r="J5" s="101" t="s">
        <v>7</v>
      </c>
      <c r="K5" s="101" t="s">
        <v>8</v>
      </c>
      <c r="L5" s="112" t="s">
        <v>68</v>
      </c>
      <c r="M5" s="116" t="s">
        <v>69</v>
      </c>
      <c r="N5" s="126" t="s">
        <v>10</v>
      </c>
      <c r="O5" s="113" t="s">
        <v>11</v>
      </c>
      <c r="P5" s="67"/>
      <c r="Q5" s="67"/>
    </row>
    <row r="6" spans="1:17" x14ac:dyDescent="0.25">
      <c r="A6" s="114">
        <v>1</v>
      </c>
      <c r="B6" s="21" t="s">
        <v>275</v>
      </c>
      <c r="C6" s="21" t="s">
        <v>15</v>
      </c>
      <c r="D6" s="21" t="s">
        <v>14</v>
      </c>
      <c r="E6" s="121">
        <v>640</v>
      </c>
      <c r="F6" s="211">
        <v>364</v>
      </c>
      <c r="G6" s="21"/>
      <c r="H6" s="21" t="s">
        <v>98</v>
      </c>
      <c r="I6" s="121"/>
      <c r="J6" s="121">
        <v>500</v>
      </c>
      <c r="K6" s="121">
        <f>1500-500</f>
        <v>1000</v>
      </c>
      <c r="L6" s="21" t="s">
        <v>25</v>
      </c>
      <c r="M6" s="21" t="s">
        <v>276</v>
      </c>
      <c r="N6" s="117" t="s">
        <v>277</v>
      </c>
      <c r="O6" s="115" t="s">
        <v>278</v>
      </c>
      <c r="P6" s="9"/>
      <c r="Q6" s="9"/>
    </row>
    <row r="7" spans="1:17" x14ac:dyDescent="0.25">
      <c r="A7" s="105">
        <v>2</v>
      </c>
      <c r="B7" s="10" t="s">
        <v>279</v>
      </c>
      <c r="C7" s="21" t="s">
        <v>15</v>
      </c>
      <c r="D7" s="10" t="s">
        <v>14</v>
      </c>
      <c r="E7" s="50">
        <v>640</v>
      </c>
      <c r="F7" s="212">
        <v>364</v>
      </c>
      <c r="G7" s="10"/>
      <c r="H7" s="10" t="s">
        <v>98</v>
      </c>
      <c r="I7" s="50"/>
      <c r="J7" s="50">
        <v>0</v>
      </c>
      <c r="K7" s="121">
        <v>1500</v>
      </c>
      <c r="L7" s="10" t="s">
        <v>25</v>
      </c>
      <c r="M7" s="10" t="s">
        <v>276</v>
      </c>
      <c r="N7" s="118" t="s">
        <v>280</v>
      </c>
      <c r="O7" s="52" t="s">
        <v>281</v>
      </c>
      <c r="P7" s="9"/>
      <c r="Q7" s="9"/>
    </row>
    <row r="8" spans="1:17" x14ac:dyDescent="0.25">
      <c r="A8" s="105">
        <v>3</v>
      </c>
      <c r="B8" s="10" t="s">
        <v>282</v>
      </c>
      <c r="C8" s="21" t="s">
        <v>15</v>
      </c>
      <c r="D8" s="10" t="s">
        <v>14</v>
      </c>
      <c r="E8" s="50">
        <v>640</v>
      </c>
      <c r="F8" s="212">
        <v>364</v>
      </c>
      <c r="G8" s="10"/>
      <c r="H8" s="10" t="s">
        <v>98</v>
      </c>
      <c r="I8" s="50">
        <v>364</v>
      </c>
      <c r="J8" s="50">
        <v>1500</v>
      </c>
      <c r="K8" s="121">
        <v>0</v>
      </c>
      <c r="L8" s="10" t="s">
        <v>25</v>
      </c>
      <c r="M8" s="10" t="s">
        <v>276</v>
      </c>
      <c r="N8" s="118" t="s">
        <v>283</v>
      </c>
      <c r="O8" s="52" t="s">
        <v>284</v>
      </c>
      <c r="P8" s="9"/>
      <c r="Q8" s="9"/>
    </row>
    <row r="9" spans="1:17" x14ac:dyDescent="0.25">
      <c r="A9" s="105">
        <v>4</v>
      </c>
      <c r="B9" s="10" t="s">
        <v>285</v>
      </c>
      <c r="C9" s="21" t="s">
        <v>15</v>
      </c>
      <c r="D9" s="10" t="s">
        <v>14</v>
      </c>
      <c r="E9" s="50">
        <v>640</v>
      </c>
      <c r="F9" s="212">
        <v>364</v>
      </c>
      <c r="G9" s="10"/>
      <c r="H9" s="10" t="s">
        <v>98</v>
      </c>
      <c r="I9" s="50">
        <v>364</v>
      </c>
      <c r="J9" s="50">
        <v>0</v>
      </c>
      <c r="K9" s="121">
        <v>1500</v>
      </c>
      <c r="L9" s="10" t="s">
        <v>25</v>
      </c>
      <c r="M9" s="10" t="s">
        <v>276</v>
      </c>
      <c r="N9" s="118" t="s">
        <v>286</v>
      </c>
      <c r="O9" s="52" t="s">
        <v>287</v>
      </c>
      <c r="P9" s="9"/>
      <c r="Q9" s="9"/>
    </row>
    <row r="10" spans="1:17" ht="15.75" thickBot="1" x14ac:dyDescent="0.3">
      <c r="A10" s="107">
        <v>5</v>
      </c>
      <c r="B10" s="108" t="s">
        <v>288</v>
      </c>
      <c r="C10" s="21" t="s">
        <v>15</v>
      </c>
      <c r="D10" s="108" t="s">
        <v>14</v>
      </c>
      <c r="E10" s="122">
        <v>640</v>
      </c>
      <c r="F10" s="213">
        <v>364</v>
      </c>
      <c r="G10" s="108"/>
      <c r="H10" s="108" t="s">
        <v>98</v>
      </c>
      <c r="I10" s="122"/>
      <c r="J10" s="122">
        <v>0</v>
      </c>
      <c r="K10" s="121">
        <v>1500</v>
      </c>
      <c r="L10" s="108" t="s">
        <v>25</v>
      </c>
      <c r="M10" s="108" t="s">
        <v>276</v>
      </c>
      <c r="N10" s="119" t="s">
        <v>289</v>
      </c>
      <c r="O10" s="109" t="s">
        <v>290</v>
      </c>
      <c r="P10" s="9"/>
      <c r="Q10" s="9"/>
    </row>
    <row r="11" spans="1:17" ht="15.75" thickBot="1" x14ac:dyDescent="0.3">
      <c r="A11" s="111"/>
      <c r="B11" s="112" t="s">
        <v>258</v>
      </c>
      <c r="C11" s="112"/>
      <c r="D11" s="112"/>
      <c r="E11" s="102">
        <f>SUM(E6:E10)</f>
        <v>3200</v>
      </c>
      <c r="F11" s="214">
        <f>SUM(F6:F10)</f>
        <v>1820</v>
      </c>
      <c r="G11" s="112"/>
      <c r="H11" s="112"/>
      <c r="I11" s="101"/>
      <c r="J11" s="102">
        <f>SUM(J6:J10)</f>
        <v>2000</v>
      </c>
      <c r="K11" s="102">
        <f>SUM(K6:K10)</f>
        <v>5500</v>
      </c>
      <c r="L11" s="112"/>
      <c r="M11" s="116"/>
      <c r="N11" s="126"/>
      <c r="O11" s="113"/>
      <c r="P11" s="67"/>
      <c r="Q11" s="67"/>
    </row>
    <row r="12" spans="1:17" x14ac:dyDescent="0.25">
      <c r="O12" s="48"/>
    </row>
    <row r="14" spans="1:17" ht="15.75" thickBot="1" x14ac:dyDescent="0.3"/>
    <row r="15" spans="1:17" ht="16.5" thickBot="1" x14ac:dyDescent="0.35">
      <c r="A15" s="123" t="s">
        <v>64</v>
      </c>
      <c r="B15" s="124"/>
      <c r="C15" s="124"/>
      <c r="D15" s="125"/>
    </row>
    <row r="16" spans="1:17" s="67" customFormat="1" ht="13.5" thickBot="1" x14ac:dyDescent="0.25">
      <c r="A16" s="111" t="s">
        <v>65</v>
      </c>
      <c r="B16" s="112" t="s">
        <v>184</v>
      </c>
      <c r="C16" s="112" t="s">
        <v>67</v>
      </c>
      <c r="D16" s="101" t="s">
        <v>2</v>
      </c>
      <c r="E16" s="101" t="s">
        <v>5</v>
      </c>
      <c r="F16" s="210" t="s">
        <v>4</v>
      </c>
      <c r="G16" s="112" t="s">
        <v>6</v>
      </c>
      <c r="H16" s="112"/>
      <c r="I16" s="127" t="s">
        <v>304</v>
      </c>
      <c r="J16" s="101" t="s">
        <v>7</v>
      </c>
      <c r="K16" s="101" t="s">
        <v>8</v>
      </c>
      <c r="L16" s="113" t="s">
        <v>69</v>
      </c>
    </row>
    <row r="17" spans="1:12" x14ac:dyDescent="0.25">
      <c r="A17" s="80">
        <v>1</v>
      </c>
      <c r="B17" s="19" t="s">
        <v>292</v>
      </c>
      <c r="C17" s="19" t="s">
        <v>20</v>
      </c>
      <c r="D17" s="45" t="s">
        <v>70</v>
      </c>
      <c r="E17" s="45">
        <v>6200</v>
      </c>
      <c r="F17" s="92">
        <v>364</v>
      </c>
      <c r="G17" s="19" t="s">
        <v>71</v>
      </c>
      <c r="H17" s="19"/>
      <c r="I17" s="45"/>
      <c r="J17" s="45">
        <v>0</v>
      </c>
      <c r="K17" s="45">
        <v>5000</v>
      </c>
      <c r="L17" s="115" t="s">
        <v>25</v>
      </c>
    </row>
    <row r="18" spans="1:12" x14ac:dyDescent="0.25">
      <c r="A18" s="68">
        <v>2</v>
      </c>
      <c r="B18" s="3" t="s">
        <v>192</v>
      </c>
      <c r="C18" s="3" t="s">
        <v>20</v>
      </c>
      <c r="D18" s="7" t="s">
        <v>70</v>
      </c>
      <c r="E18" s="45">
        <v>6200</v>
      </c>
      <c r="F18" s="64">
        <v>364</v>
      </c>
      <c r="G18" s="3" t="s">
        <v>71</v>
      </c>
      <c r="H18" s="3"/>
      <c r="I18" s="7"/>
      <c r="J18" s="7">
        <v>0</v>
      </c>
      <c r="K18" s="45">
        <v>5000</v>
      </c>
      <c r="L18" s="52" t="s">
        <v>25</v>
      </c>
    </row>
    <row r="19" spans="1:12" x14ac:dyDescent="0.25">
      <c r="A19" s="68">
        <v>4</v>
      </c>
      <c r="B19" s="3" t="s">
        <v>293</v>
      </c>
      <c r="C19" s="3" t="s">
        <v>20</v>
      </c>
      <c r="D19" s="7" t="s">
        <v>70</v>
      </c>
      <c r="E19" s="45">
        <v>6200</v>
      </c>
      <c r="F19" s="64">
        <v>364</v>
      </c>
      <c r="G19" s="3" t="s">
        <v>71</v>
      </c>
      <c r="H19" s="3"/>
      <c r="I19" s="7"/>
      <c r="J19" s="7">
        <v>0</v>
      </c>
      <c r="K19" s="45">
        <v>5000</v>
      </c>
      <c r="L19" s="52" t="s">
        <v>25</v>
      </c>
    </row>
    <row r="20" spans="1:12" x14ac:dyDescent="0.25">
      <c r="A20" s="68">
        <v>5</v>
      </c>
      <c r="B20" s="3" t="s">
        <v>294</v>
      </c>
      <c r="C20" s="3" t="s">
        <v>20</v>
      </c>
      <c r="D20" s="7" t="s">
        <v>70</v>
      </c>
      <c r="E20" s="45">
        <v>6200</v>
      </c>
      <c r="F20" s="64">
        <v>364</v>
      </c>
      <c r="G20" s="3" t="s">
        <v>71</v>
      </c>
      <c r="H20" s="3"/>
      <c r="I20" s="7"/>
      <c r="J20" s="7">
        <v>0</v>
      </c>
      <c r="K20" s="45">
        <v>5000</v>
      </c>
      <c r="L20" s="52" t="s">
        <v>25</v>
      </c>
    </row>
    <row r="21" spans="1:12" x14ac:dyDescent="0.25">
      <c r="A21" s="68">
        <v>6</v>
      </c>
      <c r="B21" s="3" t="s">
        <v>295</v>
      </c>
      <c r="C21" s="3" t="s">
        <v>20</v>
      </c>
      <c r="D21" s="7" t="s">
        <v>70</v>
      </c>
      <c r="E21" s="45">
        <v>6200</v>
      </c>
      <c r="F21" s="64">
        <v>364</v>
      </c>
      <c r="G21" s="3" t="s">
        <v>71</v>
      </c>
      <c r="H21" s="3"/>
      <c r="I21" s="7"/>
      <c r="J21" s="7">
        <v>0</v>
      </c>
      <c r="K21" s="45">
        <v>5000</v>
      </c>
      <c r="L21" s="52" t="s">
        <v>25</v>
      </c>
    </row>
    <row r="22" spans="1:12" x14ac:dyDescent="0.25">
      <c r="A22" s="68">
        <v>7</v>
      </c>
      <c r="B22" s="3" t="s">
        <v>296</v>
      </c>
      <c r="C22" s="3" t="s">
        <v>20</v>
      </c>
      <c r="D22" s="7" t="s">
        <v>70</v>
      </c>
      <c r="E22" s="45">
        <v>6200</v>
      </c>
      <c r="F22" s="64">
        <v>364</v>
      </c>
      <c r="G22" s="3" t="s">
        <v>71</v>
      </c>
      <c r="H22" s="3"/>
      <c r="I22" s="7"/>
      <c r="J22" s="7">
        <v>0</v>
      </c>
      <c r="K22" s="45">
        <v>5000</v>
      </c>
      <c r="L22" s="52" t="s">
        <v>25</v>
      </c>
    </row>
    <row r="23" spans="1:12" x14ac:dyDescent="0.25">
      <c r="A23" s="68">
        <v>9</v>
      </c>
      <c r="B23" s="3" t="s">
        <v>297</v>
      </c>
      <c r="C23" s="3" t="s">
        <v>20</v>
      </c>
      <c r="D23" s="7" t="s">
        <v>70</v>
      </c>
      <c r="E23" s="45">
        <v>6200</v>
      </c>
      <c r="F23" s="64">
        <v>364</v>
      </c>
      <c r="G23" s="3" t="s">
        <v>71</v>
      </c>
      <c r="H23" s="3"/>
      <c r="I23" s="7"/>
      <c r="J23" s="7">
        <v>0</v>
      </c>
      <c r="K23" s="45">
        <v>5000</v>
      </c>
      <c r="L23" s="52" t="s">
        <v>25</v>
      </c>
    </row>
    <row r="24" spans="1:12" x14ac:dyDescent="0.25">
      <c r="A24" s="68">
        <v>10</v>
      </c>
      <c r="B24" s="3" t="s">
        <v>298</v>
      </c>
      <c r="C24" s="3" t="s">
        <v>20</v>
      </c>
      <c r="D24" s="7" t="s">
        <v>70</v>
      </c>
      <c r="E24" s="45">
        <v>6200</v>
      </c>
      <c r="F24" s="64">
        <v>364</v>
      </c>
      <c r="G24" s="3" t="s">
        <v>71</v>
      </c>
      <c r="H24" s="3"/>
      <c r="I24" s="7"/>
      <c r="J24" s="7">
        <v>0</v>
      </c>
      <c r="K24" s="45">
        <v>5000</v>
      </c>
      <c r="L24" s="52" t="s">
        <v>25</v>
      </c>
    </row>
    <row r="25" spans="1:12" x14ac:dyDescent="0.25">
      <c r="A25" s="68">
        <v>11</v>
      </c>
      <c r="B25" s="3" t="s">
        <v>299</v>
      </c>
      <c r="C25" s="3" t="s">
        <v>20</v>
      </c>
      <c r="D25" s="7" t="s">
        <v>70</v>
      </c>
      <c r="E25" s="45">
        <v>6200</v>
      </c>
      <c r="F25" s="64">
        <v>364</v>
      </c>
      <c r="G25" s="3" t="s">
        <v>71</v>
      </c>
      <c r="H25" s="3"/>
      <c r="I25" s="7"/>
      <c r="J25" s="7">
        <v>0</v>
      </c>
      <c r="K25" s="45">
        <v>5000</v>
      </c>
      <c r="L25" s="52" t="s">
        <v>25</v>
      </c>
    </row>
    <row r="26" spans="1:12" x14ac:dyDescent="0.25">
      <c r="A26" s="68">
        <v>12</v>
      </c>
      <c r="B26" s="3" t="s">
        <v>78</v>
      </c>
      <c r="C26" s="3" t="s">
        <v>20</v>
      </c>
      <c r="D26" s="7" t="s">
        <v>70</v>
      </c>
      <c r="E26" s="45">
        <v>6200</v>
      </c>
      <c r="F26" s="64">
        <v>364</v>
      </c>
      <c r="G26" s="3" t="s">
        <v>71</v>
      </c>
      <c r="H26" s="3"/>
      <c r="I26" s="7"/>
      <c r="J26" s="7">
        <v>0</v>
      </c>
      <c r="K26" s="45">
        <v>5000</v>
      </c>
      <c r="L26" s="52" t="s">
        <v>25</v>
      </c>
    </row>
    <row r="27" spans="1:12" x14ac:dyDescent="0.25">
      <c r="A27" s="68">
        <v>13</v>
      </c>
      <c r="B27" s="3" t="s">
        <v>300</v>
      </c>
      <c r="C27" s="3" t="s">
        <v>20</v>
      </c>
      <c r="D27" s="7" t="s">
        <v>70</v>
      </c>
      <c r="E27" s="45">
        <v>6200</v>
      </c>
      <c r="F27" s="64">
        <v>364</v>
      </c>
      <c r="G27" s="3" t="s">
        <v>71</v>
      </c>
      <c r="H27" s="3"/>
      <c r="I27" s="7"/>
      <c r="J27" s="7">
        <v>0</v>
      </c>
      <c r="K27" s="45">
        <v>5000</v>
      </c>
      <c r="L27" s="52" t="s">
        <v>25</v>
      </c>
    </row>
    <row r="28" spans="1:12" x14ac:dyDescent="0.25">
      <c r="A28" s="68">
        <v>14</v>
      </c>
      <c r="B28" s="3" t="s">
        <v>301</v>
      </c>
      <c r="C28" s="3" t="s">
        <v>20</v>
      </c>
      <c r="D28" s="7" t="s">
        <v>70</v>
      </c>
      <c r="E28" s="45">
        <v>6200</v>
      </c>
      <c r="F28" s="64">
        <v>364</v>
      </c>
      <c r="G28" s="3" t="s">
        <v>71</v>
      </c>
      <c r="H28" s="3"/>
      <c r="I28" s="7"/>
      <c r="J28" s="7">
        <v>0</v>
      </c>
      <c r="K28" s="45">
        <v>5000</v>
      </c>
      <c r="L28" s="52" t="s">
        <v>25</v>
      </c>
    </row>
    <row r="29" spans="1:12" x14ac:dyDescent="0.25">
      <c r="A29" s="68">
        <v>15</v>
      </c>
      <c r="B29" s="3" t="s">
        <v>293</v>
      </c>
      <c r="C29" s="3" t="s">
        <v>20</v>
      </c>
      <c r="D29" s="7" t="s">
        <v>70</v>
      </c>
      <c r="E29" s="45">
        <v>6200</v>
      </c>
      <c r="F29" s="64">
        <v>364</v>
      </c>
      <c r="G29" s="3" t="s">
        <v>71</v>
      </c>
      <c r="H29" s="3"/>
      <c r="I29" s="7"/>
      <c r="J29" s="7">
        <v>0</v>
      </c>
      <c r="K29" s="45">
        <v>5000</v>
      </c>
      <c r="L29" s="52" t="s">
        <v>25</v>
      </c>
    </row>
    <row r="30" spans="1:12" x14ac:dyDescent="0.25">
      <c r="A30" s="68">
        <v>16</v>
      </c>
      <c r="B30" s="3" t="s">
        <v>302</v>
      </c>
      <c r="C30" s="3" t="s">
        <v>20</v>
      </c>
      <c r="D30" s="7" t="s">
        <v>70</v>
      </c>
      <c r="E30" s="45">
        <v>6200</v>
      </c>
      <c r="F30" s="64">
        <v>364</v>
      </c>
      <c r="G30" s="3" t="s">
        <v>71</v>
      </c>
      <c r="H30" s="3"/>
      <c r="I30" s="7"/>
      <c r="J30" s="7">
        <v>0</v>
      </c>
      <c r="K30" s="45">
        <v>5000</v>
      </c>
      <c r="L30" s="52" t="s">
        <v>25</v>
      </c>
    </row>
    <row r="31" spans="1:12" ht="15.75" thickBot="1" x14ac:dyDescent="0.3">
      <c r="A31" s="73">
        <v>17</v>
      </c>
      <c r="B31" s="74" t="s">
        <v>303</v>
      </c>
      <c r="C31" s="74" t="s">
        <v>20</v>
      </c>
      <c r="D31" s="75" t="s">
        <v>70</v>
      </c>
      <c r="E31" s="45">
        <v>6200</v>
      </c>
      <c r="F31" s="97">
        <v>364</v>
      </c>
      <c r="G31" s="74" t="s">
        <v>71</v>
      </c>
      <c r="H31" s="74"/>
      <c r="I31" s="75"/>
      <c r="J31" s="75">
        <v>0</v>
      </c>
      <c r="K31" s="45">
        <v>5000</v>
      </c>
      <c r="L31" s="109" t="s">
        <v>25</v>
      </c>
    </row>
    <row r="32" spans="1:12" ht="15.75" thickBot="1" x14ac:dyDescent="0.3">
      <c r="A32" s="77"/>
      <c r="B32" s="78"/>
      <c r="C32" s="78"/>
      <c r="D32" s="78"/>
      <c r="E32" s="79">
        <f>SUM(E17:E31)</f>
        <v>93000</v>
      </c>
      <c r="F32" s="215">
        <f>SUM(F17:F31)</f>
        <v>5460</v>
      </c>
      <c r="G32" s="78"/>
      <c r="H32" s="78"/>
      <c r="I32" s="79"/>
      <c r="J32" s="79"/>
      <c r="K32" s="103">
        <f>SUM(K17:K31)</f>
        <v>75000</v>
      </c>
      <c r="L3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M47"/>
  <sheetViews>
    <sheetView tabSelected="1" topLeftCell="A4" zoomScale="98" zoomScaleNormal="98" workbookViewId="0">
      <selection activeCell="F7" sqref="F7"/>
    </sheetView>
  </sheetViews>
  <sheetFormatPr defaultRowHeight="15" x14ac:dyDescent="0.25"/>
  <cols>
    <col min="1" max="1" width="7.42578125" style="1" customWidth="1"/>
    <col min="2" max="2" width="15" customWidth="1"/>
    <col min="3" max="3" width="17.140625" customWidth="1"/>
    <col min="4" max="4" width="17.7109375" style="1" customWidth="1"/>
    <col min="5" max="5" width="21.28515625" customWidth="1"/>
    <col min="6" max="6" width="17.28515625" style="1" customWidth="1"/>
    <col min="7" max="7" width="14.140625" style="1" customWidth="1"/>
    <col min="8" max="9" width="18.42578125" style="1" customWidth="1"/>
    <col min="10" max="10" width="11.28515625" customWidth="1"/>
    <col min="11" max="11" width="11.85546875" style="1" customWidth="1"/>
    <col min="12" max="12" width="18" customWidth="1"/>
    <col min="13" max="13" width="9.7109375" customWidth="1"/>
    <col min="14" max="14" width="12.28515625" customWidth="1"/>
    <col min="15" max="15" width="39.85546875" customWidth="1"/>
  </cols>
  <sheetData>
    <row r="3" spans="1:13" ht="15.75" thickBot="1" x14ac:dyDescent="0.3"/>
    <row r="4" spans="1:13" ht="16.5" thickBot="1" x14ac:dyDescent="0.35">
      <c r="A4" s="132" t="s">
        <v>64</v>
      </c>
      <c r="B4" s="133"/>
      <c r="C4" s="133"/>
      <c r="D4" s="44"/>
    </row>
    <row r="5" spans="1:13" x14ac:dyDescent="0.25">
      <c r="A5" s="51"/>
      <c r="B5" s="16"/>
      <c r="C5" s="16"/>
      <c r="D5" s="43"/>
      <c r="E5" s="16"/>
      <c r="F5" s="43"/>
      <c r="G5" s="43"/>
      <c r="H5" s="43"/>
      <c r="I5" s="43"/>
      <c r="J5" s="16"/>
      <c r="K5" s="43"/>
      <c r="L5" s="16"/>
      <c r="M5" s="40"/>
    </row>
    <row r="6" spans="1:13" s="2" customFormat="1" x14ac:dyDescent="0.25">
      <c r="A6" s="130"/>
      <c r="B6" s="62" t="s">
        <v>184</v>
      </c>
      <c r="C6" s="62" t="s">
        <v>66</v>
      </c>
      <c r="D6" s="47" t="s">
        <v>67</v>
      </c>
      <c r="E6" s="62" t="s">
        <v>2</v>
      </c>
      <c r="F6" s="47" t="s">
        <v>5</v>
      </c>
      <c r="G6" s="47" t="s">
        <v>4</v>
      </c>
      <c r="H6" s="47" t="s">
        <v>87</v>
      </c>
      <c r="I6" s="47" t="s">
        <v>6</v>
      </c>
      <c r="J6" s="62" t="s">
        <v>7</v>
      </c>
      <c r="K6" s="47" t="s">
        <v>8</v>
      </c>
      <c r="L6" s="62" t="s">
        <v>68</v>
      </c>
      <c r="M6" s="131" t="s">
        <v>69</v>
      </c>
    </row>
    <row r="7" spans="1:13" x14ac:dyDescent="0.25">
      <c r="A7" s="53">
        <v>2</v>
      </c>
      <c r="B7" s="3" t="s">
        <v>306</v>
      </c>
      <c r="C7" s="3" t="s">
        <v>307</v>
      </c>
      <c r="D7" s="7" t="s">
        <v>20</v>
      </c>
      <c r="E7" s="3" t="s">
        <v>70</v>
      </c>
      <c r="F7" s="7">
        <v>5000</v>
      </c>
      <c r="G7" s="7">
        <v>364</v>
      </c>
      <c r="H7" s="7"/>
      <c r="I7" s="7" t="s">
        <v>71</v>
      </c>
      <c r="J7" s="3">
        <v>0</v>
      </c>
      <c r="K7" s="7">
        <v>1700</v>
      </c>
      <c r="L7" s="3"/>
      <c r="M7" s="41"/>
    </row>
    <row r="8" spans="1:13" x14ac:dyDescent="0.25">
      <c r="A8" s="53">
        <v>3</v>
      </c>
      <c r="B8" s="3" t="s">
        <v>308</v>
      </c>
      <c r="C8" s="3" t="s">
        <v>309</v>
      </c>
      <c r="D8" s="7" t="s">
        <v>20</v>
      </c>
      <c r="E8" s="3" t="s">
        <v>70</v>
      </c>
      <c r="F8" s="7">
        <v>5000</v>
      </c>
      <c r="G8" s="7">
        <v>364</v>
      </c>
      <c r="H8" s="7"/>
      <c r="I8" s="7" t="s">
        <v>71</v>
      </c>
      <c r="J8" s="3">
        <v>0</v>
      </c>
      <c r="K8" s="7">
        <v>1700</v>
      </c>
      <c r="L8" s="3"/>
      <c r="M8" s="41"/>
    </row>
    <row r="9" spans="1:13" x14ac:dyDescent="0.25">
      <c r="A9" s="53">
        <v>4</v>
      </c>
      <c r="B9" s="3" t="s">
        <v>310</v>
      </c>
      <c r="C9" s="3" t="s">
        <v>195</v>
      </c>
      <c r="D9" s="7" t="s">
        <v>20</v>
      </c>
      <c r="E9" s="3" t="s">
        <v>70</v>
      </c>
      <c r="F9" s="7">
        <v>5000</v>
      </c>
      <c r="G9" s="7">
        <v>364</v>
      </c>
      <c r="H9" s="7"/>
      <c r="I9" s="7" t="s">
        <v>71</v>
      </c>
      <c r="J9" s="3">
        <v>0</v>
      </c>
      <c r="K9" s="7">
        <v>1700</v>
      </c>
      <c r="L9" s="3"/>
      <c r="M9" s="41"/>
    </row>
    <row r="10" spans="1:13" x14ac:dyDescent="0.25">
      <c r="A10" s="53">
        <v>5</v>
      </c>
      <c r="B10" s="3" t="s">
        <v>73</v>
      </c>
      <c r="C10" s="3" t="s">
        <v>311</v>
      </c>
      <c r="D10" s="7" t="s">
        <v>20</v>
      </c>
      <c r="E10" s="3" t="s">
        <v>70</v>
      </c>
      <c r="F10" s="7">
        <v>5000</v>
      </c>
      <c r="G10" s="7">
        <v>364</v>
      </c>
      <c r="H10" s="7"/>
      <c r="I10" s="7" t="s">
        <v>71</v>
      </c>
      <c r="J10" s="3">
        <v>0</v>
      </c>
      <c r="K10" s="7">
        <v>1700</v>
      </c>
      <c r="L10" s="3"/>
      <c r="M10" s="41"/>
    </row>
    <row r="11" spans="1:13" x14ac:dyDescent="0.25">
      <c r="A11" s="53">
        <v>6</v>
      </c>
      <c r="B11" s="3" t="s">
        <v>186</v>
      </c>
      <c r="C11" s="3" t="s">
        <v>312</v>
      </c>
      <c r="D11" s="7" t="s">
        <v>20</v>
      </c>
      <c r="E11" s="3" t="s">
        <v>70</v>
      </c>
      <c r="F11" s="7">
        <v>5000</v>
      </c>
      <c r="G11" s="7">
        <v>364</v>
      </c>
      <c r="H11" s="7"/>
      <c r="I11" s="7" t="s">
        <v>71</v>
      </c>
      <c r="J11" s="3">
        <v>0</v>
      </c>
      <c r="K11" s="7">
        <v>1700</v>
      </c>
      <c r="L11" s="3"/>
      <c r="M11" s="41"/>
    </row>
    <row r="12" spans="1:13" x14ac:dyDescent="0.25">
      <c r="A12" s="53">
        <v>8</v>
      </c>
      <c r="B12" s="3" t="s">
        <v>314</v>
      </c>
      <c r="C12" s="3" t="s">
        <v>315</v>
      </c>
      <c r="D12" s="7" t="s">
        <v>20</v>
      </c>
      <c r="E12" s="3" t="s">
        <v>70</v>
      </c>
      <c r="F12" s="7">
        <v>5000</v>
      </c>
      <c r="G12" s="7">
        <v>364</v>
      </c>
      <c r="H12" s="7"/>
      <c r="I12" s="7" t="s">
        <v>71</v>
      </c>
      <c r="J12" s="3">
        <v>0</v>
      </c>
      <c r="K12" s="7">
        <v>1700</v>
      </c>
      <c r="L12" s="3"/>
      <c r="M12" s="41"/>
    </row>
    <row r="13" spans="1:13" x14ac:dyDescent="0.25">
      <c r="A13" s="53">
        <v>9</v>
      </c>
      <c r="B13" s="3" t="s">
        <v>316</v>
      </c>
      <c r="C13" s="3" t="s">
        <v>317</v>
      </c>
      <c r="D13" s="7" t="s">
        <v>20</v>
      </c>
      <c r="E13" s="3" t="s">
        <v>70</v>
      </c>
      <c r="F13" s="7">
        <v>5000</v>
      </c>
      <c r="G13" s="7">
        <v>364</v>
      </c>
      <c r="H13" s="7"/>
      <c r="I13" s="7" t="s">
        <v>71</v>
      </c>
      <c r="J13" s="3">
        <v>0</v>
      </c>
      <c r="K13" s="7">
        <v>1700</v>
      </c>
      <c r="L13" s="3"/>
      <c r="M13" s="41"/>
    </row>
    <row r="14" spans="1:13" x14ac:dyDescent="0.25">
      <c r="A14" s="53">
        <v>10</v>
      </c>
      <c r="B14" s="3" t="s">
        <v>318</v>
      </c>
      <c r="C14" s="3" t="s">
        <v>319</v>
      </c>
      <c r="D14" s="7" t="s">
        <v>20</v>
      </c>
      <c r="E14" s="3" t="s">
        <v>70</v>
      </c>
      <c r="F14" s="7">
        <v>5000</v>
      </c>
      <c r="G14" s="7">
        <v>364</v>
      </c>
      <c r="H14" s="7"/>
      <c r="I14" s="7" t="s">
        <v>71</v>
      </c>
      <c r="J14" s="3">
        <v>0</v>
      </c>
      <c r="K14" s="7">
        <v>1700</v>
      </c>
      <c r="L14" s="3"/>
      <c r="M14" s="41"/>
    </row>
    <row r="15" spans="1:13" x14ac:dyDescent="0.25">
      <c r="A15" s="53">
        <v>11</v>
      </c>
      <c r="B15" s="3" t="s">
        <v>320</v>
      </c>
      <c r="C15" s="3" t="s">
        <v>321</v>
      </c>
      <c r="D15" s="7" t="s">
        <v>20</v>
      </c>
      <c r="E15" s="3" t="s">
        <v>70</v>
      </c>
      <c r="F15" s="7">
        <v>5000</v>
      </c>
      <c r="G15" s="7">
        <v>364</v>
      </c>
      <c r="H15" s="7"/>
      <c r="I15" s="7" t="s">
        <v>71</v>
      </c>
      <c r="J15" s="3">
        <v>0</v>
      </c>
      <c r="K15" s="7">
        <v>1700</v>
      </c>
      <c r="L15" s="3"/>
      <c r="M15" s="41"/>
    </row>
    <row r="16" spans="1:13" x14ac:dyDescent="0.25">
      <c r="A16" s="53">
        <v>12</v>
      </c>
      <c r="B16" s="3" t="s">
        <v>322</v>
      </c>
      <c r="C16" s="3" t="s">
        <v>73</v>
      </c>
      <c r="D16" s="7" t="s">
        <v>20</v>
      </c>
      <c r="E16" s="3" t="s">
        <v>70</v>
      </c>
      <c r="F16" s="7">
        <v>5000</v>
      </c>
      <c r="G16" s="7">
        <v>364</v>
      </c>
      <c r="H16" s="7"/>
      <c r="I16" s="7" t="s">
        <v>71</v>
      </c>
      <c r="J16" s="3">
        <v>0</v>
      </c>
      <c r="K16" s="7">
        <v>1700</v>
      </c>
      <c r="L16" s="3"/>
      <c r="M16" s="41"/>
    </row>
    <row r="17" spans="1:13" x14ac:dyDescent="0.25">
      <c r="A17" s="53">
        <v>13</v>
      </c>
      <c r="B17" s="3" t="s">
        <v>323</v>
      </c>
      <c r="C17" s="3" t="s">
        <v>324</v>
      </c>
      <c r="D17" s="7" t="s">
        <v>20</v>
      </c>
      <c r="E17" s="3" t="s">
        <v>70</v>
      </c>
      <c r="F17" s="7">
        <v>5000</v>
      </c>
      <c r="G17" s="7">
        <v>364</v>
      </c>
      <c r="H17" s="7"/>
      <c r="I17" s="7" t="s">
        <v>71</v>
      </c>
      <c r="J17" s="3">
        <v>0</v>
      </c>
      <c r="K17" s="7">
        <v>1700</v>
      </c>
      <c r="L17" s="3"/>
      <c r="M17" s="41"/>
    </row>
    <row r="18" spans="1:13" x14ac:dyDescent="0.25">
      <c r="A18" s="53">
        <v>14</v>
      </c>
      <c r="B18" s="3" t="s">
        <v>325</v>
      </c>
      <c r="C18" s="3" t="s">
        <v>83</v>
      </c>
      <c r="D18" s="7" t="s">
        <v>20</v>
      </c>
      <c r="E18" s="3" t="s">
        <v>70</v>
      </c>
      <c r="F18" s="7">
        <v>5000</v>
      </c>
      <c r="G18" s="7">
        <v>364</v>
      </c>
      <c r="H18" s="7"/>
      <c r="I18" s="7" t="s">
        <v>71</v>
      </c>
      <c r="J18" s="3">
        <v>0</v>
      </c>
      <c r="K18" s="7">
        <v>1700</v>
      </c>
      <c r="L18" s="3"/>
      <c r="M18" s="41"/>
    </row>
    <row r="19" spans="1:13" x14ac:dyDescent="0.25">
      <c r="A19" s="53">
        <v>15</v>
      </c>
      <c r="B19" s="3" t="s">
        <v>326</v>
      </c>
      <c r="C19" s="3" t="s">
        <v>327</v>
      </c>
      <c r="D19" s="7" t="s">
        <v>20</v>
      </c>
      <c r="E19" s="3" t="s">
        <v>70</v>
      </c>
      <c r="F19" s="7">
        <v>5000</v>
      </c>
      <c r="G19" s="7">
        <v>364</v>
      </c>
      <c r="H19" s="7"/>
      <c r="I19" s="7" t="s">
        <v>71</v>
      </c>
      <c r="J19" s="3">
        <v>0</v>
      </c>
      <c r="K19" s="7">
        <v>1700</v>
      </c>
      <c r="L19" s="3"/>
      <c r="M19" s="41"/>
    </row>
    <row r="20" spans="1:13" x14ac:dyDescent="0.25">
      <c r="A20" s="53">
        <v>16</v>
      </c>
      <c r="B20" s="3" t="s">
        <v>81</v>
      </c>
      <c r="C20" s="3" t="s">
        <v>328</v>
      </c>
      <c r="D20" s="7" t="s">
        <v>20</v>
      </c>
      <c r="E20" s="3" t="s">
        <v>70</v>
      </c>
      <c r="F20" s="7">
        <v>5000</v>
      </c>
      <c r="G20" s="7">
        <v>364</v>
      </c>
      <c r="H20" s="7"/>
      <c r="I20" s="7" t="s">
        <v>71</v>
      </c>
      <c r="J20" s="3">
        <v>0</v>
      </c>
      <c r="K20" s="7">
        <v>1700</v>
      </c>
      <c r="L20" s="3"/>
      <c r="M20" s="41"/>
    </row>
    <row r="21" spans="1:13" x14ac:dyDescent="0.25">
      <c r="A21" s="53">
        <v>17</v>
      </c>
      <c r="B21" s="3" t="s">
        <v>329</v>
      </c>
      <c r="C21" s="3" t="s">
        <v>330</v>
      </c>
      <c r="D21" s="7" t="s">
        <v>20</v>
      </c>
      <c r="E21" s="3" t="s">
        <v>70</v>
      </c>
      <c r="F21" s="7">
        <v>5000</v>
      </c>
      <c r="G21" s="7">
        <v>364</v>
      </c>
      <c r="H21" s="7"/>
      <c r="I21" s="7" t="s">
        <v>71</v>
      </c>
      <c r="J21" s="3">
        <v>0</v>
      </c>
      <c r="K21" s="7">
        <v>1700</v>
      </c>
      <c r="L21" s="3"/>
      <c r="M21" s="41"/>
    </row>
    <row r="22" spans="1:13" x14ac:dyDescent="0.25">
      <c r="A22" s="53">
        <v>18</v>
      </c>
      <c r="B22" s="3" t="s">
        <v>331</v>
      </c>
      <c r="C22" s="3" t="s">
        <v>332</v>
      </c>
      <c r="D22" s="7" t="s">
        <v>20</v>
      </c>
      <c r="E22" s="3" t="s">
        <v>70</v>
      </c>
      <c r="F22" s="7">
        <v>5000</v>
      </c>
      <c r="G22" s="7">
        <v>364</v>
      </c>
      <c r="H22" s="7"/>
      <c r="I22" s="7" t="s">
        <v>71</v>
      </c>
      <c r="J22" s="3">
        <v>0</v>
      </c>
      <c r="K22" s="7">
        <v>1700</v>
      </c>
      <c r="L22" s="3"/>
      <c r="M22" s="41"/>
    </row>
    <row r="23" spans="1:13" x14ac:dyDescent="0.25">
      <c r="A23" s="53">
        <v>19</v>
      </c>
      <c r="B23" s="3" t="s">
        <v>333</v>
      </c>
      <c r="C23" s="3" t="s">
        <v>77</v>
      </c>
      <c r="D23" s="7" t="s">
        <v>20</v>
      </c>
      <c r="E23" s="3" t="s">
        <v>70</v>
      </c>
      <c r="F23" s="7">
        <v>5000</v>
      </c>
      <c r="G23" s="7">
        <v>364</v>
      </c>
      <c r="H23" s="7"/>
      <c r="I23" s="7" t="s">
        <v>71</v>
      </c>
      <c r="J23" s="3">
        <v>0</v>
      </c>
      <c r="K23" s="7">
        <v>1700</v>
      </c>
      <c r="L23" s="3"/>
      <c r="M23" s="41"/>
    </row>
    <row r="24" spans="1:13" x14ac:dyDescent="0.25">
      <c r="A24" s="53">
        <v>20</v>
      </c>
      <c r="B24" s="3" t="s">
        <v>334</v>
      </c>
      <c r="C24" s="3" t="s">
        <v>335</v>
      </c>
      <c r="D24" s="7" t="s">
        <v>20</v>
      </c>
      <c r="E24" s="3" t="s">
        <v>70</v>
      </c>
      <c r="F24" s="7">
        <v>5000</v>
      </c>
      <c r="G24" s="7">
        <v>364</v>
      </c>
      <c r="H24" s="7"/>
      <c r="I24" s="7" t="s">
        <v>71</v>
      </c>
      <c r="J24" s="3">
        <v>0</v>
      </c>
      <c r="K24" s="7">
        <v>1700</v>
      </c>
      <c r="L24" s="3"/>
      <c r="M24" s="41"/>
    </row>
    <row r="25" spans="1:13" x14ac:dyDescent="0.25">
      <c r="A25" s="53">
        <v>21</v>
      </c>
      <c r="B25" s="3" t="s">
        <v>336</v>
      </c>
      <c r="C25" s="3" t="s">
        <v>313</v>
      </c>
      <c r="D25" s="7" t="s">
        <v>20</v>
      </c>
      <c r="E25" s="3" t="s">
        <v>70</v>
      </c>
      <c r="F25" s="7">
        <v>5000</v>
      </c>
      <c r="G25" s="7">
        <v>364</v>
      </c>
      <c r="H25" s="7"/>
      <c r="I25" s="7" t="s">
        <v>71</v>
      </c>
      <c r="J25" s="3">
        <v>0</v>
      </c>
      <c r="K25" s="7">
        <v>1700</v>
      </c>
      <c r="L25" s="3"/>
      <c r="M25" s="41"/>
    </row>
    <row r="26" spans="1:13" x14ac:dyDescent="0.25">
      <c r="A26" s="53">
        <v>22</v>
      </c>
      <c r="B26" s="3" t="s">
        <v>337</v>
      </c>
      <c r="C26" s="3" t="s">
        <v>338</v>
      </c>
      <c r="D26" s="7" t="s">
        <v>20</v>
      </c>
      <c r="E26" s="3" t="s">
        <v>70</v>
      </c>
      <c r="F26" s="7">
        <v>5000</v>
      </c>
      <c r="G26" s="7">
        <v>364</v>
      </c>
      <c r="H26" s="7"/>
      <c r="I26" s="7" t="s">
        <v>71</v>
      </c>
      <c r="J26" s="3">
        <v>0</v>
      </c>
      <c r="K26" s="7">
        <v>1700</v>
      </c>
      <c r="L26" s="3"/>
      <c r="M26" s="41"/>
    </row>
    <row r="27" spans="1:13" x14ac:dyDescent="0.25">
      <c r="A27" s="53">
        <v>23</v>
      </c>
      <c r="B27" s="3" t="s">
        <v>339</v>
      </c>
      <c r="C27" s="3" t="s">
        <v>340</v>
      </c>
      <c r="D27" s="7" t="s">
        <v>20</v>
      </c>
      <c r="E27" s="3" t="s">
        <v>70</v>
      </c>
      <c r="F27" s="7">
        <v>5000</v>
      </c>
      <c r="G27" s="7">
        <v>364</v>
      </c>
      <c r="H27" s="7"/>
      <c r="I27" s="7" t="s">
        <v>71</v>
      </c>
      <c r="J27" s="3">
        <v>0</v>
      </c>
      <c r="K27" s="7">
        <v>1700</v>
      </c>
      <c r="L27" s="3"/>
      <c r="M27" s="41"/>
    </row>
    <row r="28" spans="1:13" x14ac:dyDescent="0.25">
      <c r="A28" s="53">
        <v>24</v>
      </c>
      <c r="B28" s="3" t="s">
        <v>339</v>
      </c>
      <c r="C28" s="3" t="s">
        <v>341</v>
      </c>
      <c r="D28" s="7" t="s">
        <v>20</v>
      </c>
      <c r="E28" s="3" t="s">
        <v>70</v>
      </c>
      <c r="F28" s="7">
        <v>5000</v>
      </c>
      <c r="G28" s="7">
        <v>364</v>
      </c>
      <c r="H28" s="7"/>
      <c r="I28" s="7" t="s">
        <v>71</v>
      </c>
      <c r="J28" s="3">
        <v>0</v>
      </c>
      <c r="K28" s="7">
        <v>1700</v>
      </c>
      <c r="L28" s="3"/>
      <c r="M28" s="41"/>
    </row>
    <row r="29" spans="1:13" x14ac:dyDescent="0.25">
      <c r="A29" s="53">
        <v>25</v>
      </c>
      <c r="B29" s="3" t="s">
        <v>339</v>
      </c>
      <c r="C29" s="3" t="s">
        <v>342</v>
      </c>
      <c r="D29" s="7" t="s">
        <v>20</v>
      </c>
      <c r="E29" s="3" t="s">
        <v>70</v>
      </c>
      <c r="F29" s="7">
        <v>5000</v>
      </c>
      <c r="G29" s="7">
        <v>364</v>
      </c>
      <c r="H29" s="7"/>
      <c r="I29" s="7" t="s">
        <v>71</v>
      </c>
      <c r="J29" s="3">
        <v>0</v>
      </c>
      <c r="K29" s="7">
        <v>1700</v>
      </c>
      <c r="M29" s="41"/>
    </row>
    <row r="30" spans="1:13" x14ac:dyDescent="0.25">
      <c r="A30" s="53">
        <v>26</v>
      </c>
      <c r="B30" s="3" t="s">
        <v>343</v>
      </c>
      <c r="C30" s="3" t="s">
        <v>344</v>
      </c>
      <c r="D30" s="7" t="s">
        <v>20</v>
      </c>
      <c r="E30" s="3" t="s">
        <v>70</v>
      </c>
      <c r="F30" s="7">
        <v>5000</v>
      </c>
      <c r="G30" s="7">
        <v>364</v>
      </c>
      <c r="H30" s="7"/>
      <c r="I30" s="7" t="s">
        <v>71</v>
      </c>
      <c r="J30" s="3">
        <v>0</v>
      </c>
      <c r="K30" s="7">
        <v>1700</v>
      </c>
      <c r="L30" s="3"/>
      <c r="M30" s="41"/>
    </row>
    <row r="31" spans="1:13" ht="15.75" thickBot="1" x14ac:dyDescent="0.3">
      <c r="A31" s="96">
        <v>27</v>
      </c>
      <c r="B31" s="74" t="s">
        <v>345</v>
      </c>
      <c r="C31" s="74" t="s">
        <v>80</v>
      </c>
      <c r="D31" s="75" t="s">
        <v>20</v>
      </c>
      <c r="E31" s="74" t="s">
        <v>70</v>
      </c>
      <c r="F31" s="7">
        <v>5000</v>
      </c>
      <c r="G31" s="75">
        <v>364</v>
      </c>
      <c r="H31" s="75"/>
      <c r="I31" s="75" t="s">
        <v>71</v>
      </c>
      <c r="J31" s="74">
        <v>0</v>
      </c>
      <c r="K31" s="75">
        <v>1700</v>
      </c>
      <c r="L31" s="74"/>
      <c r="M31" s="76"/>
    </row>
    <row r="32" spans="1:13" ht="15.75" thickBot="1" x14ac:dyDescent="0.3">
      <c r="A32" s="175"/>
      <c r="B32" s="54"/>
      <c r="C32" s="54"/>
      <c r="D32" s="6"/>
      <c r="E32" s="54"/>
      <c r="F32" s="6"/>
      <c r="G32" s="176">
        <f>SUM(G7:G31)</f>
        <v>9100</v>
      </c>
      <c r="H32" s="6"/>
      <c r="I32" s="6"/>
      <c r="J32" s="54"/>
      <c r="K32" s="176">
        <f>SUM(K7:K31)</f>
        <v>42500</v>
      </c>
      <c r="L32" s="54"/>
      <c r="M32" s="5"/>
    </row>
    <row r="33" spans="1:9" ht="15.75" thickBot="1" x14ac:dyDescent="0.3"/>
    <row r="34" spans="1:9" ht="16.5" thickBot="1" x14ac:dyDescent="0.35">
      <c r="A34" s="132" t="s">
        <v>360</v>
      </c>
      <c r="B34" s="133"/>
      <c r="C34" s="133"/>
      <c r="D34" s="44"/>
    </row>
    <row r="35" spans="1:9" ht="15.75" thickBot="1" x14ac:dyDescent="0.3">
      <c r="A35" s="94" t="s">
        <v>305</v>
      </c>
      <c r="B35" s="83" t="s">
        <v>89</v>
      </c>
      <c r="C35" s="83" t="s">
        <v>5</v>
      </c>
      <c r="D35" s="84" t="s">
        <v>6</v>
      </c>
      <c r="E35" s="83" t="s">
        <v>4</v>
      </c>
      <c r="F35" s="84" t="s">
        <v>6</v>
      </c>
      <c r="G35" s="84" t="s">
        <v>7</v>
      </c>
      <c r="H35" s="84" t="s">
        <v>8</v>
      </c>
      <c r="I35" s="142" t="s">
        <v>346</v>
      </c>
    </row>
    <row r="36" spans="1:9" x14ac:dyDescent="0.25">
      <c r="A36" s="91"/>
      <c r="B36" s="19"/>
      <c r="C36" s="19"/>
      <c r="D36" s="45"/>
      <c r="E36" s="19"/>
      <c r="F36" s="45"/>
      <c r="G36" s="45"/>
      <c r="H36" s="45"/>
      <c r="I36" s="197"/>
    </row>
    <row r="37" spans="1:9" x14ac:dyDescent="0.25">
      <c r="A37" s="53">
        <v>1</v>
      </c>
      <c r="B37" s="3" t="s">
        <v>347</v>
      </c>
      <c r="C37" s="3">
        <v>0</v>
      </c>
      <c r="D37" s="7" t="s">
        <v>15</v>
      </c>
      <c r="E37" s="3">
        <v>364</v>
      </c>
      <c r="F37" s="7" t="s">
        <v>98</v>
      </c>
      <c r="G37" s="7">
        <v>364</v>
      </c>
      <c r="H37" s="7">
        <v>0</v>
      </c>
      <c r="I37" s="198" t="s">
        <v>18</v>
      </c>
    </row>
    <row r="38" spans="1:9" x14ac:dyDescent="0.25">
      <c r="A38" s="53">
        <v>2</v>
      </c>
      <c r="B38" s="3" t="s">
        <v>348</v>
      </c>
      <c r="C38" s="3">
        <v>0</v>
      </c>
      <c r="D38" s="7" t="s">
        <v>15</v>
      </c>
      <c r="E38" s="3">
        <v>364</v>
      </c>
      <c r="F38" s="7" t="s">
        <v>98</v>
      </c>
      <c r="G38" s="7">
        <v>364</v>
      </c>
      <c r="H38" s="7">
        <v>0</v>
      </c>
      <c r="I38" s="198" t="s">
        <v>18</v>
      </c>
    </row>
    <row r="39" spans="1:9" x14ac:dyDescent="0.25">
      <c r="A39" s="53">
        <v>3</v>
      </c>
      <c r="B39" s="3" t="s">
        <v>349</v>
      </c>
      <c r="C39" s="3">
        <v>0</v>
      </c>
      <c r="D39" s="7" t="s">
        <v>15</v>
      </c>
      <c r="E39" s="3">
        <v>364</v>
      </c>
      <c r="F39" s="7" t="s">
        <v>98</v>
      </c>
      <c r="G39" s="7">
        <v>364</v>
      </c>
      <c r="H39" s="7">
        <v>0</v>
      </c>
      <c r="I39" s="198" t="s">
        <v>18</v>
      </c>
    </row>
    <row r="40" spans="1:9" x14ac:dyDescent="0.25">
      <c r="A40" s="53">
        <v>4</v>
      </c>
      <c r="B40" s="3" t="s">
        <v>350</v>
      </c>
      <c r="C40" s="3">
        <v>0</v>
      </c>
      <c r="D40" s="7" t="s">
        <v>15</v>
      </c>
      <c r="E40" s="3">
        <v>364</v>
      </c>
      <c r="F40" s="7" t="s">
        <v>98</v>
      </c>
      <c r="G40" s="7">
        <v>332</v>
      </c>
      <c r="H40" s="7">
        <v>32</v>
      </c>
      <c r="I40" s="198" t="s">
        <v>25</v>
      </c>
    </row>
    <row r="41" spans="1:9" x14ac:dyDescent="0.25">
      <c r="A41" s="53">
        <v>5</v>
      </c>
      <c r="B41" s="3" t="s">
        <v>351</v>
      </c>
      <c r="C41" s="3">
        <v>0</v>
      </c>
      <c r="D41" s="7" t="s">
        <v>15</v>
      </c>
      <c r="E41" s="3">
        <v>364</v>
      </c>
      <c r="F41" s="7" t="s">
        <v>98</v>
      </c>
      <c r="G41" s="7">
        <v>364</v>
      </c>
      <c r="H41" s="7">
        <v>0</v>
      </c>
      <c r="I41" s="198" t="s">
        <v>18</v>
      </c>
    </row>
    <row r="42" spans="1:9" x14ac:dyDescent="0.25">
      <c r="A42" s="53">
        <v>6</v>
      </c>
      <c r="B42" s="3" t="s">
        <v>352</v>
      </c>
      <c r="C42" s="3">
        <v>0</v>
      </c>
      <c r="D42" s="7" t="s">
        <v>15</v>
      </c>
      <c r="E42" s="3">
        <v>364</v>
      </c>
      <c r="F42" s="7" t="s">
        <v>98</v>
      </c>
      <c r="G42" s="7">
        <v>364</v>
      </c>
      <c r="H42" s="7">
        <v>0</v>
      </c>
      <c r="I42" s="198" t="s">
        <v>18</v>
      </c>
    </row>
    <row r="43" spans="1:9" x14ac:dyDescent="0.25">
      <c r="A43" s="53">
        <v>7</v>
      </c>
      <c r="B43" s="3" t="s">
        <v>353</v>
      </c>
      <c r="C43" s="3">
        <v>0</v>
      </c>
      <c r="D43" s="7" t="s">
        <v>15</v>
      </c>
      <c r="E43" s="3">
        <v>364</v>
      </c>
      <c r="F43" s="7" t="s">
        <v>98</v>
      </c>
      <c r="G43" s="7">
        <v>364</v>
      </c>
      <c r="H43" s="7">
        <v>0</v>
      </c>
      <c r="I43" s="198" t="s">
        <v>18</v>
      </c>
    </row>
    <row r="44" spans="1:9" x14ac:dyDescent="0.25">
      <c r="A44" s="53">
        <v>8</v>
      </c>
      <c r="B44" s="3" t="s">
        <v>354</v>
      </c>
      <c r="C44" s="3">
        <v>0</v>
      </c>
      <c r="D44" s="7" t="s">
        <v>15</v>
      </c>
      <c r="E44" s="3">
        <v>364</v>
      </c>
      <c r="F44" s="7" t="s">
        <v>98</v>
      </c>
      <c r="G44" s="7">
        <v>364</v>
      </c>
      <c r="H44" s="7">
        <v>0</v>
      </c>
      <c r="I44" s="198" t="s">
        <v>18</v>
      </c>
    </row>
    <row r="45" spans="1:9" x14ac:dyDescent="0.25">
      <c r="A45" s="53">
        <v>9</v>
      </c>
      <c r="B45" s="3" t="s">
        <v>431</v>
      </c>
      <c r="C45" s="3">
        <v>0</v>
      </c>
      <c r="D45" s="7" t="s">
        <v>15</v>
      </c>
      <c r="E45" s="3">
        <v>364</v>
      </c>
      <c r="F45" s="7" t="s">
        <v>98</v>
      </c>
      <c r="G45" s="7">
        <v>364</v>
      </c>
      <c r="H45" s="7">
        <v>0</v>
      </c>
      <c r="I45" s="198"/>
    </row>
    <row r="46" spans="1:9" ht="15.75" thickBot="1" x14ac:dyDescent="0.3">
      <c r="A46" s="96">
        <v>12</v>
      </c>
      <c r="B46" s="74" t="s">
        <v>355</v>
      </c>
      <c r="C46" s="74">
        <v>0</v>
      </c>
      <c r="D46" s="75" t="s">
        <v>15</v>
      </c>
      <c r="E46" s="74">
        <v>364</v>
      </c>
      <c r="F46" s="75" t="s">
        <v>98</v>
      </c>
      <c r="G46" s="75">
        <v>364</v>
      </c>
      <c r="H46" s="75">
        <v>0</v>
      </c>
      <c r="I46" s="199" t="s">
        <v>18</v>
      </c>
    </row>
    <row r="47" spans="1:9" ht="15.75" thickBot="1" x14ac:dyDescent="0.3">
      <c r="A47" s="8" t="s">
        <v>258</v>
      </c>
      <c r="B47" s="78"/>
      <c r="C47" s="78">
        <v>0</v>
      </c>
      <c r="D47" s="79"/>
      <c r="E47" s="129">
        <v>4368</v>
      </c>
      <c r="F47" s="79"/>
      <c r="G47" s="103">
        <v>4336</v>
      </c>
      <c r="H47" s="103">
        <v>32</v>
      </c>
      <c r="I47" s="20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4"/>
  <sheetViews>
    <sheetView workbookViewId="0">
      <selection activeCell="D25" sqref="D25"/>
    </sheetView>
  </sheetViews>
  <sheetFormatPr defaultRowHeight="15" x14ac:dyDescent="0.25"/>
  <cols>
    <col min="1" max="1" width="4.28515625" style="1" customWidth="1"/>
    <col min="2" max="2" width="20.7109375" style="1" customWidth="1"/>
    <col min="3" max="3" width="18.7109375" style="1" customWidth="1"/>
    <col min="4" max="4" width="20" style="1" customWidth="1"/>
    <col min="5" max="5" width="20.140625" style="1" customWidth="1"/>
    <col min="6" max="6" width="10" style="1" customWidth="1"/>
    <col min="7" max="7" width="15.7109375" style="1" customWidth="1"/>
    <col min="8" max="8" width="13" style="1" customWidth="1"/>
    <col min="9" max="9" width="12.85546875" style="1" customWidth="1"/>
    <col min="10" max="10" width="13.7109375" customWidth="1"/>
    <col min="11" max="11" width="30.28515625" customWidth="1"/>
  </cols>
  <sheetData>
    <row r="2" spans="1:11" ht="15.75" thickBot="1" x14ac:dyDescent="0.3">
      <c r="A2" s="178"/>
      <c r="B2" s="178"/>
      <c r="C2" s="178"/>
      <c r="D2" s="178"/>
      <c r="E2" s="178"/>
      <c r="F2" s="178"/>
      <c r="G2" s="178"/>
      <c r="H2" s="178"/>
      <c r="I2" s="178"/>
      <c r="J2" s="67"/>
    </row>
    <row r="3" spans="1:11" x14ac:dyDescent="0.25">
      <c r="A3" s="183"/>
      <c r="B3" s="184" t="s">
        <v>184</v>
      </c>
      <c r="C3" s="184" t="s">
        <v>66</v>
      </c>
      <c r="D3" s="184" t="s">
        <v>67</v>
      </c>
      <c r="E3" s="184" t="s">
        <v>2</v>
      </c>
      <c r="F3" s="184" t="s">
        <v>4</v>
      </c>
      <c r="G3" s="184" t="s">
        <v>87</v>
      </c>
      <c r="H3" s="184" t="s">
        <v>7</v>
      </c>
      <c r="I3" s="179" t="s">
        <v>8</v>
      </c>
      <c r="J3" s="189"/>
      <c r="K3" s="186"/>
    </row>
    <row r="4" spans="1:11" x14ac:dyDescent="0.25">
      <c r="A4" s="185">
        <v>1</v>
      </c>
      <c r="B4" s="179" t="s">
        <v>381</v>
      </c>
      <c r="C4" s="179" t="s">
        <v>382</v>
      </c>
      <c r="D4" s="7" t="s">
        <v>413</v>
      </c>
      <c r="E4" s="179" t="s">
        <v>14</v>
      </c>
      <c r="F4" s="179">
        <v>364</v>
      </c>
      <c r="G4" s="179" t="s">
        <v>380</v>
      </c>
      <c r="H4" s="179">
        <v>364</v>
      </c>
      <c r="I4" s="179">
        <v>0</v>
      </c>
      <c r="J4" s="191" t="s">
        <v>389</v>
      </c>
      <c r="K4" s="187" t="s">
        <v>388</v>
      </c>
    </row>
    <row r="5" spans="1:11" x14ac:dyDescent="0.25">
      <c r="A5" s="185">
        <v>2</v>
      </c>
      <c r="B5" s="179" t="s">
        <v>383</v>
      </c>
      <c r="C5" s="179" t="s">
        <v>384</v>
      </c>
      <c r="D5" s="7" t="s">
        <v>413</v>
      </c>
      <c r="E5" s="179" t="s">
        <v>14</v>
      </c>
      <c r="F5" s="179">
        <v>364</v>
      </c>
      <c r="G5" s="179" t="s">
        <v>380</v>
      </c>
      <c r="H5" s="179">
        <v>364</v>
      </c>
      <c r="I5" s="179">
        <v>0</v>
      </c>
      <c r="J5" s="191" t="s">
        <v>399</v>
      </c>
      <c r="K5" s="187" t="s">
        <v>398</v>
      </c>
    </row>
    <row r="6" spans="1:11" x14ac:dyDescent="0.25">
      <c r="A6" s="185">
        <v>3</v>
      </c>
      <c r="B6" s="179" t="s">
        <v>385</v>
      </c>
      <c r="C6" s="179" t="s">
        <v>77</v>
      </c>
      <c r="D6" s="7" t="s">
        <v>413</v>
      </c>
      <c r="E6" s="179" t="s">
        <v>14</v>
      </c>
      <c r="F6" s="179">
        <v>364</v>
      </c>
      <c r="G6" s="179" t="s">
        <v>380</v>
      </c>
      <c r="H6" s="179"/>
      <c r="I6" s="179">
        <v>364</v>
      </c>
      <c r="J6" s="190" t="s">
        <v>397</v>
      </c>
      <c r="K6" s="188" t="s">
        <v>396</v>
      </c>
    </row>
    <row r="7" spans="1:11" x14ac:dyDescent="0.25">
      <c r="A7" s="185">
        <v>4</v>
      </c>
      <c r="B7" s="179" t="s">
        <v>386</v>
      </c>
      <c r="C7" s="179" t="s">
        <v>81</v>
      </c>
      <c r="D7" s="7" t="s">
        <v>413</v>
      </c>
      <c r="E7" s="179" t="s">
        <v>14</v>
      </c>
      <c r="F7" s="179">
        <v>364</v>
      </c>
      <c r="G7" s="179" t="s">
        <v>380</v>
      </c>
      <c r="H7" s="179">
        <v>364</v>
      </c>
      <c r="I7" s="179">
        <v>0</v>
      </c>
      <c r="J7" s="191" t="s">
        <v>395</v>
      </c>
      <c r="K7" s="187" t="s">
        <v>394</v>
      </c>
    </row>
    <row r="8" spans="1:11" ht="15.75" thickBot="1" x14ac:dyDescent="0.3">
      <c r="A8" s="192">
        <v>5</v>
      </c>
      <c r="B8" s="193" t="s">
        <v>387</v>
      </c>
      <c r="C8" s="193" t="s">
        <v>313</v>
      </c>
      <c r="D8" s="7" t="s">
        <v>413</v>
      </c>
      <c r="E8" s="193" t="s">
        <v>14</v>
      </c>
      <c r="F8" s="193">
        <v>364</v>
      </c>
      <c r="G8" s="193" t="s">
        <v>380</v>
      </c>
      <c r="H8" s="193"/>
      <c r="I8" s="193">
        <v>364</v>
      </c>
      <c r="J8" s="194" t="s">
        <v>393</v>
      </c>
      <c r="K8" s="195" t="s">
        <v>392</v>
      </c>
    </row>
    <row r="9" spans="1:11" ht="15.75" thickBot="1" x14ac:dyDescent="0.3">
      <c r="A9" s="148"/>
      <c r="B9" s="101"/>
      <c r="C9" s="101"/>
      <c r="D9" s="101"/>
      <c r="E9" s="101"/>
      <c r="F9" s="101">
        <f>SUM(F4:F8)</f>
        <v>1820</v>
      </c>
      <c r="G9" s="101"/>
      <c r="H9" s="102">
        <f>SUM(H4:H8)</f>
        <v>1092</v>
      </c>
      <c r="I9" s="102">
        <f>SUM(I4:I8)</f>
        <v>728</v>
      </c>
      <c r="J9" s="112"/>
      <c r="K9" s="4"/>
    </row>
    <row r="10" spans="1:11" x14ac:dyDescent="0.25">
      <c r="A10" s="178"/>
      <c r="B10" s="178"/>
      <c r="C10" s="178"/>
      <c r="D10" s="178"/>
      <c r="E10" s="178"/>
      <c r="F10" s="178"/>
      <c r="G10" s="178"/>
      <c r="H10" s="178"/>
      <c r="I10" s="178"/>
      <c r="J10" s="67"/>
    </row>
    <row r="11" spans="1:11" x14ac:dyDescent="0.25">
      <c r="A11" s="178"/>
      <c r="B11" s="178"/>
      <c r="C11" s="178"/>
      <c r="D11" s="178"/>
      <c r="E11" s="178"/>
      <c r="F11" s="178"/>
      <c r="G11" s="178"/>
      <c r="H11" s="178"/>
      <c r="I11" s="178"/>
      <c r="J11" s="67"/>
    </row>
    <row r="12" spans="1:11" x14ac:dyDescent="0.25">
      <c r="A12" s="178"/>
      <c r="B12" s="178"/>
      <c r="C12" s="178"/>
      <c r="D12" s="178"/>
      <c r="E12" s="178"/>
      <c r="F12" s="178"/>
      <c r="G12" s="178"/>
      <c r="H12" s="178"/>
      <c r="I12" s="178"/>
      <c r="J12" s="67"/>
    </row>
    <row r="13" spans="1:11" x14ac:dyDescent="0.25">
      <c r="A13" s="178"/>
      <c r="B13" s="178"/>
      <c r="C13" s="178"/>
      <c r="D13" s="178"/>
      <c r="E13" s="178"/>
      <c r="F13" s="178"/>
      <c r="G13" s="178"/>
      <c r="H13" s="178"/>
      <c r="I13" s="178"/>
      <c r="J13" s="67"/>
    </row>
    <row r="14" spans="1:11" x14ac:dyDescent="0.25">
      <c r="A14" s="178"/>
      <c r="B14" s="178"/>
      <c r="C14" s="178"/>
      <c r="D14" s="178"/>
      <c r="E14" s="178"/>
      <c r="F14" s="178"/>
      <c r="G14" s="178"/>
      <c r="H14" s="178"/>
      <c r="I14" s="178"/>
      <c r="J14" s="6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F19"/>
  <sheetViews>
    <sheetView workbookViewId="0">
      <selection activeCell="E17" sqref="E17"/>
    </sheetView>
  </sheetViews>
  <sheetFormatPr defaultRowHeight="15" x14ac:dyDescent="0.25"/>
  <cols>
    <col min="2" max="2" width="18" customWidth="1"/>
    <col min="4" max="4" width="11" style="1" customWidth="1"/>
    <col min="5" max="5" width="16" style="1" customWidth="1"/>
    <col min="6" max="6" width="19.85546875" customWidth="1"/>
  </cols>
  <sheetData>
    <row r="1" spans="2:6" x14ac:dyDescent="0.25">
      <c r="B1" s="159" t="s">
        <v>361</v>
      </c>
      <c r="C1" s="159"/>
      <c r="D1" s="160"/>
      <c r="E1" s="58"/>
    </row>
    <row r="2" spans="2:6" ht="15.75" thickBot="1" x14ac:dyDescent="0.3"/>
    <row r="3" spans="2:6" ht="15.75" thickBot="1" x14ac:dyDescent="0.3">
      <c r="B3" s="82" t="s">
        <v>356</v>
      </c>
      <c r="C3" s="84" t="s">
        <v>94</v>
      </c>
      <c r="D3" s="84" t="s">
        <v>7</v>
      </c>
      <c r="E3" s="157" t="s">
        <v>8</v>
      </c>
      <c r="F3" s="142" t="s">
        <v>358</v>
      </c>
    </row>
    <row r="4" spans="2:6" x14ac:dyDescent="0.25">
      <c r="B4" s="80" t="s">
        <v>369</v>
      </c>
      <c r="C4" s="45">
        <v>5000</v>
      </c>
      <c r="D4" s="154">
        <v>25580</v>
      </c>
      <c r="E4" s="49">
        <v>5000</v>
      </c>
      <c r="F4" s="168">
        <f>SUM(D4:E4)</f>
        <v>30580</v>
      </c>
    </row>
    <row r="5" spans="2:6" x14ac:dyDescent="0.25">
      <c r="B5" s="68" t="s">
        <v>370</v>
      </c>
      <c r="C5" s="7">
        <v>5000</v>
      </c>
      <c r="D5" s="155">
        <v>22356</v>
      </c>
      <c r="E5" s="158">
        <v>19400</v>
      </c>
      <c r="F5" s="169">
        <f>SUM(D5:E5)</f>
        <v>41756</v>
      </c>
    </row>
    <row r="6" spans="2:6" x14ac:dyDescent="0.25">
      <c r="B6" s="68" t="s">
        <v>371</v>
      </c>
      <c r="C6" s="7">
        <v>4000</v>
      </c>
      <c r="D6" s="7">
        <v>0</v>
      </c>
      <c r="E6" s="158">
        <v>30480</v>
      </c>
      <c r="F6" s="156">
        <f>SUM(D6:E6)</f>
        <v>30480</v>
      </c>
    </row>
    <row r="7" spans="2:6" x14ac:dyDescent="0.25">
      <c r="B7" s="68" t="s">
        <v>372</v>
      </c>
      <c r="C7" s="7">
        <v>3000</v>
      </c>
      <c r="D7" s="7">
        <v>0</v>
      </c>
      <c r="E7" s="158">
        <v>18000</v>
      </c>
      <c r="F7" s="156">
        <f>SUM(D7:E7)</f>
        <v>18000</v>
      </c>
    </row>
    <row r="8" spans="2:6" ht="15.75" thickBot="1" x14ac:dyDescent="0.3">
      <c r="B8" s="73" t="s">
        <v>373</v>
      </c>
      <c r="C8" s="75">
        <v>1700</v>
      </c>
      <c r="D8" s="75">
        <v>0</v>
      </c>
      <c r="E8" s="166">
        <v>0</v>
      </c>
      <c r="F8" s="170">
        <v>0</v>
      </c>
    </row>
    <row r="9" spans="2:6" ht="15.75" thickBot="1" x14ac:dyDescent="0.3">
      <c r="B9" s="77" t="s">
        <v>359</v>
      </c>
      <c r="C9" s="78"/>
      <c r="D9" s="163">
        <f>SUM(D4:D8)</f>
        <v>47936</v>
      </c>
      <c r="E9" s="163">
        <f>SUM(E4:E8)</f>
        <v>72880</v>
      </c>
      <c r="F9" s="171">
        <f>SUM(F4:F8)</f>
        <v>120816</v>
      </c>
    </row>
    <row r="12" spans="2:6" ht="15.75" thickBot="1" x14ac:dyDescent="0.3">
      <c r="B12" s="161" t="s">
        <v>362</v>
      </c>
      <c r="C12" s="161"/>
      <c r="D12" s="162"/>
    </row>
    <row r="13" spans="2:6" x14ac:dyDescent="0.25">
      <c r="B13" s="70" t="s">
        <v>356</v>
      </c>
      <c r="C13" s="34" t="s">
        <v>94</v>
      </c>
      <c r="D13" s="26" t="s">
        <v>7</v>
      </c>
      <c r="E13" s="26" t="s">
        <v>8</v>
      </c>
      <c r="F13" s="172" t="s">
        <v>358</v>
      </c>
    </row>
    <row r="14" spans="2:6" x14ac:dyDescent="0.25">
      <c r="B14" s="68" t="s">
        <v>369</v>
      </c>
      <c r="C14" s="3">
        <v>5000</v>
      </c>
      <c r="D14" s="155">
        <v>33102</v>
      </c>
      <c r="E14" s="155">
        <v>27778</v>
      </c>
      <c r="F14" s="156">
        <f>SUM(D14:E14)</f>
        <v>60880</v>
      </c>
    </row>
    <row r="15" spans="2:6" x14ac:dyDescent="0.25">
      <c r="B15" s="68" t="s">
        <v>370</v>
      </c>
      <c r="C15" s="3">
        <v>5000</v>
      </c>
      <c r="D15" s="167">
        <v>0</v>
      </c>
      <c r="E15" s="155">
        <v>80000</v>
      </c>
      <c r="F15" s="156">
        <f>SUM(D15:E15)</f>
        <v>80000</v>
      </c>
    </row>
    <row r="16" spans="2:6" x14ac:dyDescent="0.25">
      <c r="B16" s="68" t="s">
        <v>371</v>
      </c>
      <c r="C16" s="3">
        <v>4000</v>
      </c>
      <c r="D16" s="167">
        <v>0</v>
      </c>
      <c r="E16" s="155">
        <v>132000</v>
      </c>
      <c r="F16" s="156">
        <f>SUM(D16:E16)</f>
        <v>132000</v>
      </c>
    </row>
    <row r="17" spans="2:6" x14ac:dyDescent="0.25">
      <c r="B17" s="68" t="s">
        <v>372</v>
      </c>
      <c r="C17" s="3">
        <v>3000</v>
      </c>
      <c r="D17" s="167">
        <v>0</v>
      </c>
      <c r="E17" s="155">
        <v>51000</v>
      </c>
      <c r="F17" s="156">
        <f>SUM(D17:E17)</f>
        <v>51000</v>
      </c>
    </row>
    <row r="18" spans="2:6" x14ac:dyDescent="0.25">
      <c r="B18" s="68" t="s">
        <v>373</v>
      </c>
      <c r="C18" s="3">
        <v>1700</v>
      </c>
      <c r="D18" s="167">
        <v>0</v>
      </c>
      <c r="E18" s="155">
        <v>45900</v>
      </c>
      <c r="F18" s="156">
        <f>SUM(D18:E18)</f>
        <v>45900</v>
      </c>
    </row>
    <row r="19" spans="2:6" ht="15.75" thickBot="1" x14ac:dyDescent="0.3">
      <c r="B19" s="69" t="s">
        <v>359</v>
      </c>
      <c r="C19" s="17"/>
      <c r="D19" s="164"/>
      <c r="E19" s="164"/>
      <c r="F19" s="165">
        <f>SUM(F14:F18)</f>
        <v>369780</v>
      </c>
    </row>
  </sheetData>
  <pageMargins left="0.7" right="0.7" top="0.75" bottom="0.75" header="0.3" footer="0.3"/>
  <ignoredErrors>
    <ignoredError sqref="F14:F18 F4:F7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RN-4</vt:lpstr>
      <vt:lpstr>Sheet1</vt:lpstr>
      <vt:lpstr>RN-5</vt:lpstr>
      <vt:lpstr>RN-6</vt:lpstr>
      <vt:lpstr>RN-7</vt:lpstr>
      <vt:lpstr>RN-8</vt:lpstr>
      <vt:lpstr>RN9</vt:lpstr>
      <vt:lpstr>TOTAL FEES </vt:lpstr>
      <vt:lpstr>'RN-4'!Print_Area</vt:lpstr>
      <vt:lpstr>'RN-6'!Print_Area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Admn</cp:lastModifiedBy>
  <cp:lastPrinted>2026-02-24T14:53:59Z</cp:lastPrinted>
  <dcterms:created xsi:type="dcterms:W3CDTF">2025-08-12T10:55:37Z</dcterms:created>
  <dcterms:modified xsi:type="dcterms:W3CDTF">2026-05-03T11:12:05Z</dcterms:modified>
</cp:coreProperties>
</file>